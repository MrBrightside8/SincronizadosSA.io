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onster" sheetId="1" state="visible" r:id="rId3"/>
    <sheet name="Retornable" sheetId="2" state="visible" r:id="rId4"/>
    <sheet name="NO Retorn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<sst xmlns="http://schemas.openxmlformats.org/spreadsheetml/2006/main" count="326" uniqueCount="122">
  <si>
    <t xml:space="preserve">Tiempo neto de trabajo disponible</t>
  </si>
  <si>
    <t xml:space="preserve">T_D</t>
  </si>
  <si>
    <t xml:space="preserve">Demanda mínima</t>
  </si>
  <si>
    <t xml:space="preserve">D</t>
  </si>
  <si>
    <t xml:space="preserve">demanda por hora</t>
  </si>
  <si>
    <t xml:space="preserve">BANDA 1M/S</t>
  </si>
  <si>
    <t xml:space="preserve">Takt time</t>
  </si>
  <si>
    <t xml:space="preserve">Takt</t>
  </si>
  <si>
    <t xml:space="preserve">Automatizado</t>
  </si>
  <si>
    <t xml:space="preserve">T_C</t>
  </si>
  <si>
    <t xml:space="preserve">To</t>
  </si>
  <si>
    <t xml:space="preserve">Th</t>
  </si>
  <si>
    <t xml:space="preserve">Tth</t>
  </si>
  <si>
    <t xml:space="preserve">ESTACIONES</t>
  </si>
  <si>
    <t xml:space="preserve">Lavado</t>
  </si>
  <si>
    <t xml:space="preserve">60s setup</t>
  </si>
  <si>
    <t xml:space="preserve">https://heimedt.com/can-washer/</t>
  </si>
  <si>
    <t xml:space="preserve">Llenado/seamer</t>
  </si>
  <si>
    <t xml:space="preserve">AT-6 Atmospheric 6 Head Filler | Seamer</t>
  </si>
  <si>
    <t xml:space="preserve">Air knife</t>
  </si>
  <si>
    <t xml:space="preserve">https://jetairtech.com/air-knife-starter-systems/</t>
  </si>
  <si>
    <t xml:space="preserve">Codificado</t>
  </si>
  <si>
    <t xml:space="preserve"> https://www.levapack.com/es/articulo-del-producto/maquina-de-impresion-por-inyeccion/</t>
  </si>
  <si>
    <t xml:space="preserve">Acomodado</t>
  </si>
  <si>
    <t xml:space="preserve">25 s/caja de 24 (manual) - ensamblaje no automatizado en ambos escenarios</t>
  </si>
  <si>
    <t xml:space="preserve">Empaquetado(shrink wrap)</t>
  </si>
  <si>
    <t xml:space="preserve">1.36 s/lata (manual: wrap + sellado) - actualizado</t>
  </si>
  <si>
    <t xml:space="preserve">1.15 s/lata (automatizado, EFK250L: wrap + sellado) - actualizado</t>
  </si>
  <si>
    <t xml:space="preserve">Automatic Shrink Wrapping Machine EFK250L</t>
  </si>
  <si>
    <t xml:space="preserve">Paletizado</t>
  </si>
  <si>
    <t xml:space="preserve">SUPUESTO: 5 s/caja de 24 (manual) - no se contaba con dato de planta, se usa el mismo orden de magnitud que Coca-Cola. CONFIRMAR con el usuario.</t>
  </si>
  <si>
    <t xml:space="preserve">IRB 460-110/2.4: 2190 ciclos/h teoricos = 1.6438 s/caja de 24 = 0.0685 s/lata (ver justificacion tecnica adjunta)</t>
  </si>
  <si>
    <t xml:space="preserve">ABB IRB 460-110/2.4</t>
  </si>
  <si>
    <t xml:space="preserve">T_C_max (s)</t>
  </si>
  <si>
    <t xml:space="preserve">Tiempo total de la planta</t>
  </si>
  <si>
    <t xml:space="preserve">Tt</t>
  </si>
  <si>
    <t xml:space="preserve">s</t>
  </si>
  <si>
    <t xml:space="preserve">Tiempo de inactividad planeada</t>
  </si>
  <si>
    <t xml:space="preserve">Tip</t>
  </si>
  <si>
    <t xml:space="preserve">Tiempo de ejecución planeado</t>
  </si>
  <si>
    <t xml:space="preserve">Tep</t>
  </si>
  <si>
    <t xml:space="preserve">Tiempo de inactividad no planeada</t>
  </si>
  <si>
    <t xml:space="preserve">Tnp</t>
  </si>
  <si>
    <t xml:space="preserve">Tiempo de ejecución real (disponible para producir)</t>
  </si>
  <si>
    <t xml:space="preserve">Ter</t>
  </si>
  <si>
    <t xml:space="preserve">Disponibilidad (cálculo por tiempos de ejecución)</t>
  </si>
  <si>
    <t xml:space="preserve">A</t>
  </si>
  <si>
    <t xml:space="preserve">%</t>
  </si>
  <si>
    <t xml:space="preserve">Tiempo promedio entre fallas</t>
  </si>
  <si>
    <t xml:space="preserve">MTBF</t>
  </si>
  <si>
    <t xml:space="preserve">Tiempo promedio de reparación</t>
  </si>
  <si>
    <t xml:space="preserve">MTTR</t>
  </si>
  <si>
    <t xml:space="preserve">Disponibilidad linea</t>
  </si>
  <si>
    <t xml:space="preserve">disponibilidad por estacion</t>
  </si>
  <si>
    <t xml:space="preserve">No aut</t>
  </si>
  <si>
    <t xml:space="preserve">Aut</t>
  </si>
  <si>
    <t xml:space="preserve">Tamoño de lote</t>
  </si>
  <si>
    <t xml:space="preserve">Q</t>
  </si>
  <si>
    <t xml:space="preserve">Tiempo Alistamiento</t>
  </si>
  <si>
    <t xml:space="preserve">Tsu</t>
  </si>
  <si>
    <t xml:space="preserve">Tiempo Ciclo</t>
  </si>
  <si>
    <t xml:space="preserve">Tcmax</t>
  </si>
  <si>
    <t xml:space="preserve">Tiempo de produccion de un Lote</t>
  </si>
  <si>
    <t xml:space="preserve">Tb</t>
  </si>
  <si>
    <t xml:space="preserve"> </t>
  </si>
  <si>
    <t xml:space="preserve">Tiempo de produccion de un unidad</t>
  </si>
  <si>
    <t xml:space="preserve">Tp</t>
  </si>
  <si>
    <t xml:space="preserve">Tasa de produccion</t>
  </si>
  <si>
    <t xml:space="preserve">Rp</t>
  </si>
  <si>
    <t xml:space="preserve">Número de estaciones</t>
  </si>
  <si>
    <t xml:space="preserve">n</t>
  </si>
  <si>
    <t xml:space="preserve">estaciones</t>
  </si>
  <si>
    <t xml:space="preserve">Número de turnos por periodo</t>
  </si>
  <si>
    <t xml:space="preserve">S</t>
  </si>
  <si>
    <t xml:space="preserve">turnos / semana</t>
  </si>
  <si>
    <t xml:space="preserve">Número de horas en donde se produce por turno</t>
  </si>
  <si>
    <t xml:space="preserve">H</t>
  </si>
  <si>
    <t xml:space="preserve">horas</t>
  </si>
  <si>
    <t xml:space="preserve">Capacidad de producción </t>
  </si>
  <si>
    <t xml:space="preserve">PC</t>
  </si>
  <si>
    <t xml:space="preserve">latas / semana</t>
  </si>
  <si>
    <t xml:space="preserve">Utilizacion</t>
  </si>
  <si>
    <t xml:space="preserve">U</t>
  </si>
  <si>
    <t xml:space="preserve">No Aut</t>
  </si>
  <si>
    <t xml:space="preserve"> Aut  producion H</t>
  </si>
  <si>
    <t xml:space="preserve">No Aut Producion H</t>
  </si>
  <si>
    <t xml:space="preserve">RE</t>
  </si>
  <si>
    <t xml:space="preserve">Recalibrado: ratio real/teorico historico de planta (No Aut 97.20%, Aut 97.53%, calculado sobre C_Tmax=1.35s y H_Tmax=1.002s originales) aplicado al nuevo cuello de botella para que la produccion real nunca supere la teorica</t>
  </si>
  <si>
    <t xml:space="preserve">SE</t>
  </si>
  <si>
    <t xml:space="preserve">PE</t>
  </si>
  <si>
    <t xml:space="preserve">Quality rate</t>
  </si>
  <si>
    <t xml:space="preserve">OEE</t>
  </si>
  <si>
    <t xml:space="preserve">Demanad total Bogotá (8h)</t>
  </si>
  <si>
    <t xml:space="preserve">Demanda mínima por turno (8h)</t>
  </si>
  <si>
    <t xml:space="preserve">65% de la demanda en bogotá</t>
  </si>
  <si>
    <t xml:space="preserve">demanda por hora (65%)</t>
  </si>
  <si>
    <t xml:space="preserve">Revisión de Calidad</t>
  </si>
  <si>
    <t xml:space="preserve">Saneamiento</t>
  </si>
  <si>
    <t xml:space="preserve">Llenado</t>
  </si>
  <si>
    <t xml:space="preserve">Tapado</t>
  </si>
  <si>
    <t xml:space="preserve">Air Knife</t>
  </si>
  <si>
    <t xml:space="preserve">tres personas se demoran 5.3 segundos por caja de 12</t>
  </si>
  <si>
    <t xml:space="preserve">tres personas se demoran 5 segundos por caja de 12</t>
  </si>
  <si>
    <t xml:space="preserve">Paletizado </t>
  </si>
  <si>
    <t xml:space="preserve">5 segundos por caja de 12</t>
  </si>
  <si>
    <t xml:space="preserve">Botellas / semana</t>
  </si>
  <si>
    <t xml:space="preserve"> Aut  producion en un turno (8h)</t>
  </si>
  <si>
    <t xml:space="preserve">No Aut Producion en un turno (8h)</t>
  </si>
  <si>
    <t xml:space="preserve">Disponibilidad</t>
  </si>
  <si>
    <t xml:space="preserve">Demanad total Bogotá (1h)</t>
  </si>
  <si>
    <t xml:space="preserve">90% de la demanda en bogotá</t>
  </si>
  <si>
    <t xml:space="preserve">demanda por hora (90%)</t>
  </si>
  <si>
    <t xml:space="preserve">Soplado de Botella</t>
  </si>
  <si>
    <t xml:space="preserve">Rinser</t>
  </si>
  <si>
    <t xml:space="preserve">Etiquetado</t>
  </si>
  <si>
    <t xml:space="preserve">No auto</t>
  </si>
  <si>
    <t xml:space="preserve">Auto</t>
  </si>
  <si>
    <t xml:space="preserve">Turno con setup</t>
  </si>
  <si>
    <t xml:space="preserve">Turno sin setup</t>
  </si>
  <si>
    <t xml:space="preserve">Total</t>
  </si>
  <si>
    <t xml:space="preserve"> Aut  producion en dos turno (16h)</t>
  </si>
  <si>
    <t xml:space="preserve">No Aut Producion en dos turno (16h)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</si>
</sst>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General"/>
    <numFmt numFmtId="167" formatCode="#,##0"/>
    <numFmt numFmtId="168" formatCode="0.000"/>
    <numFmt numFmtId="169" formatCode="0%"/>
    <numFmt numFmtId="170" formatCode="0.0000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6100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>
        <color rgb="FFCCCCCC"/>
      </top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>
        <color rgb="FFCCCCCC"/>
      </top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183240</xdr:colOff>
      <xdr:row>22</xdr:row>
      <xdr:rowOff>25920</xdr:rowOff>
    </xdr:from>
    <xdr:to>
      <xdr:col>7</xdr:col>
      <xdr:colOff>1425240</xdr:colOff>
      <xdr:row>33</xdr:row>
      <xdr:rowOff>111960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10663920" y="4159800"/>
          <a:ext cx="2671920" cy="197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183240</xdr:colOff>
      <xdr:row>26</xdr:row>
      <xdr:rowOff>53280</xdr:rowOff>
    </xdr:from>
    <xdr:to>
      <xdr:col>6</xdr:col>
      <xdr:colOff>2780640</xdr:colOff>
      <xdr:row>38</xdr:row>
      <xdr:rowOff>17280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11238120" y="4892040"/>
          <a:ext cx="2597400" cy="198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183240</xdr:colOff>
      <xdr:row>27</xdr:row>
      <xdr:rowOff>53280</xdr:rowOff>
    </xdr:from>
    <xdr:to>
      <xdr:col>6</xdr:col>
      <xdr:colOff>2780640</xdr:colOff>
      <xdr:row>39</xdr:row>
      <xdr:rowOff>17280</xdr:rowOff>
    </xdr:to>
    <xdr:pic>
      <xdr:nvPicPr>
        <xdr:cNvPr id="2" name="Imagen 2" descr=""/>
        <xdr:cNvPicPr/>
      </xdr:nvPicPr>
      <xdr:blipFill>
        <a:blip r:embed="rId1"/>
        <a:stretch/>
      </xdr:blipFill>
      <xdr:spPr>
        <a:xfrm>
          <a:off x="11238120" y="5091840"/>
          <a:ext cx="259740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6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D12" activeCellId="0" sqref="D12"/>
    </sheetView>
  </sheetViews>
  <sheetFormatPr defaultColWidth="11.42578125" defaultRowHeight="12.75" zeroHeight="false" outlineLevelRow="0" outlineLevelCol="0"/>
  <cols>
    <col collapsed="false" customWidth="true" hidden="false" outlineLevel="0" max="2" min="2" style="1" width="62.57"/>
    <col collapsed="false" customWidth="true" hidden="false" outlineLevel="0" max="3" min="3" style="1" width="13.57"/>
    <col collapsed="false" customWidth="true" hidden="false" outlineLevel="0" max="5" min="5" style="1" width="21.29"/>
    <col collapsed="false" customWidth="true" hidden="false" outlineLevel="0" max="6" min="6" style="1" width="28.42"/>
    <col collapsed="false" customWidth="true" hidden="false" outlineLevel="0" max="7" min="7" style="1" width="20.29"/>
    <col collapsed="false" customWidth="true" hidden="false" outlineLevel="0" max="8" min="8" style="1" width="23.42"/>
    <col collapsed="false" customWidth="true" hidden="false" outlineLevel="0" max="10" min="10" style="1" width="15.42"/>
    <col collapsed="false" customWidth="true" hidden="false" outlineLevel="0" max="12" min="12" style="1" width="18.29"/>
    <col collapsed="false" customWidth="true" hidden="false" outlineLevel="0" max="13" min="13" style="1" width="78"/>
  </cols>
  <sheetData>
    <row r="2" customFormat="false" ht="14.25" hidden="false" customHeight="true" outlineLevel="0" collapsed="false">
      <c r="B2" s="2" t="s">
        <v>0</v>
      </c>
      <c r="C2" s="2" t="s">
        <v>1</v>
      </c>
      <c r="D2" s="3" t="n">
        <f aca="false">D16-D19</f>
        <v>27869.76</v>
      </c>
    </row>
    <row r="3" customFormat="false" ht="14.25" hidden="false" customHeight="true" outlineLevel="0" collapsed="false">
      <c r="B3" s="4" t="s">
        <v>2</v>
      </c>
      <c r="C3" s="2" t="s">
        <v>3</v>
      </c>
      <c r="D3" s="3" t="n">
        <f aca="false">3174*8</f>
        <v>25392</v>
      </c>
      <c r="F3" s="5" t="s">
        <v>4</v>
      </c>
      <c r="G3" s="1" t="n">
        <f aca="false">D3/8</f>
        <v>3174</v>
      </c>
      <c r="J3" s="1" t="s">
        <v>5</v>
      </c>
    </row>
    <row r="4" customFormat="false" ht="15" hidden="false" customHeight="true" outlineLevel="0" collapsed="false">
      <c r="B4" s="4" t="s">
        <v>6</v>
      </c>
      <c r="C4" s="6" t="s">
        <v>7</v>
      </c>
      <c r="D4" s="7" t="n">
        <f aca="false">D2/D3</f>
        <v>1.09758034026465</v>
      </c>
    </row>
    <row r="5" customFormat="false" ht="12.75" hidden="false" customHeight="true" outlineLevel="0" collapsed="false">
      <c r="H5" s="8" t="s">
        <v>8</v>
      </c>
    </row>
    <row r="6" customFormat="false" ht="13.5" hidden="false" customHeight="true" outlineLevel="0" collapsed="false">
      <c r="C6" s="9" t="s">
        <v>9</v>
      </c>
      <c r="D6" s="9" t="s">
        <v>10</v>
      </c>
      <c r="E6" s="9" t="s">
        <v>11</v>
      </c>
      <c r="F6" s="9" t="s">
        <v>12</v>
      </c>
      <c r="H6" s="9" t="s">
        <v>9</v>
      </c>
      <c r="M6" s="10" t="s">
        <v>13</v>
      </c>
    </row>
    <row r="7" customFormat="false" ht="15.75" hidden="false" customHeight="true" outlineLevel="0" collapsed="false">
      <c r="B7" s="11" t="s">
        <v>14</v>
      </c>
      <c r="C7" s="12" t="n">
        <f aca="false">D7+E7+F7</f>
        <v>0.9</v>
      </c>
      <c r="D7" s="8" t="n">
        <v>0.9</v>
      </c>
      <c r="E7" s="8" t="n">
        <v>0</v>
      </c>
      <c r="F7" s="8" t="n">
        <v>0</v>
      </c>
      <c r="G7" s="1" t="s">
        <v>15</v>
      </c>
      <c r="H7" s="8" t="n">
        <v>0.9</v>
      </c>
      <c r="M7" s="8" t="s">
        <v>16</v>
      </c>
    </row>
    <row r="8" customFormat="false" ht="15.75" hidden="false" customHeight="true" outlineLevel="0" collapsed="false">
      <c r="B8" s="13" t="s">
        <v>17</v>
      </c>
      <c r="C8" s="12" t="n">
        <f aca="false">D8+E8+F8</f>
        <v>1</v>
      </c>
      <c r="D8" s="8" t="n">
        <v>1</v>
      </c>
      <c r="E8" s="8" t="n">
        <v>0</v>
      </c>
      <c r="F8" s="8" t="n">
        <v>0</v>
      </c>
      <c r="H8" s="8" t="n">
        <v>1</v>
      </c>
      <c r="M8" s="9" t="s">
        <v>18</v>
      </c>
    </row>
    <row r="9" customFormat="false" ht="15.75" hidden="false" customHeight="true" outlineLevel="0" collapsed="false">
      <c r="B9" s="13" t="s">
        <v>19</v>
      </c>
      <c r="C9" s="12" t="n">
        <f aca="false">D9+E9+F9</f>
        <v>0.12</v>
      </c>
      <c r="D9" s="8" t="n">
        <v>0.12</v>
      </c>
      <c r="E9" s="8" t="n">
        <v>0</v>
      </c>
      <c r="F9" s="8" t="n">
        <v>0</v>
      </c>
      <c r="H9" s="8" t="n">
        <v>0.12</v>
      </c>
      <c r="M9" s="8" t="s">
        <v>20</v>
      </c>
    </row>
    <row r="10" customFormat="false" ht="15.75" hidden="false" customHeight="true" outlineLevel="0" collapsed="false">
      <c r="B10" s="13" t="s">
        <v>21</v>
      </c>
      <c r="C10" s="12" t="n">
        <f aca="false">D10+E10+F10</f>
        <v>0.12</v>
      </c>
      <c r="D10" s="8" t="n">
        <v>0.12</v>
      </c>
      <c r="E10" s="8" t="n">
        <v>0</v>
      </c>
      <c r="F10" s="8" t="n">
        <v>0</v>
      </c>
      <c r="H10" s="8" t="n">
        <v>0.12</v>
      </c>
      <c r="M10" s="8" t="s">
        <v>22</v>
      </c>
    </row>
    <row r="11" customFormat="false" ht="15.75" hidden="false" customHeight="true" outlineLevel="0" collapsed="false">
      <c r="B11" s="14" t="s">
        <v>23</v>
      </c>
      <c r="C11" s="12" t="n">
        <f aca="false">D11+E11+F11</f>
        <v>1.04166666666667</v>
      </c>
      <c r="D11" s="8" t="n">
        <v>1.04166666666667</v>
      </c>
      <c r="E11" s="5" t="n">
        <v>0</v>
      </c>
      <c r="F11" s="1" t="n">
        <v>0</v>
      </c>
      <c r="G11" s="1" t="s">
        <v>24</v>
      </c>
      <c r="H11" s="8" t="n">
        <v>1.04166666666667</v>
      </c>
      <c r="J11" s="5"/>
      <c r="M11" s="8"/>
    </row>
    <row r="12" customFormat="false" ht="15.75" hidden="false" customHeight="true" outlineLevel="0" collapsed="false">
      <c r="B12" s="14" t="s">
        <v>25</v>
      </c>
      <c r="C12" s="12" t="n">
        <f aca="false">D12+E12+F12</f>
        <v>1.36</v>
      </c>
      <c r="D12" s="8" t="n">
        <v>1.36</v>
      </c>
      <c r="E12" s="5" t="n">
        <v>0</v>
      </c>
      <c r="F12" s="1" t="n">
        <v>0</v>
      </c>
      <c r="G12" s="1" t="s">
        <v>26</v>
      </c>
      <c r="H12" s="8" t="n">
        <v>1.15</v>
      </c>
      <c r="I12" s="1"/>
      <c r="J12" s="5" t="s">
        <v>27</v>
      </c>
      <c r="K12" s="1"/>
      <c r="M12" s="8" t="s">
        <v>28</v>
      </c>
    </row>
    <row r="13" customFormat="false" ht="14.25" hidden="false" customHeight="true" outlineLevel="0" collapsed="false">
      <c r="B13" s="14" t="s">
        <v>29</v>
      </c>
      <c r="C13" s="12" t="n">
        <f aca="false">D13+E13+F13</f>
        <v>0.208333333333333</v>
      </c>
      <c r="D13" s="8" t="n">
        <v>0.208333333333333</v>
      </c>
      <c r="E13" s="5" t="n">
        <v>0</v>
      </c>
      <c r="F13" s="1" t="n">
        <v>0</v>
      </c>
      <c r="G13" s="1" t="s">
        <v>30</v>
      </c>
      <c r="H13" s="8" t="n">
        <v>0.0684931506849315</v>
      </c>
      <c r="I13" s="1"/>
      <c r="J13" s="5" t="s">
        <v>31</v>
      </c>
      <c r="K13" s="1"/>
      <c r="M13" s="8" t="s">
        <v>32</v>
      </c>
    </row>
    <row r="14" customFormat="false" ht="15" hidden="false" customHeight="true" outlineLevel="0" collapsed="false">
      <c r="B14" s="15" t="s">
        <v>33</v>
      </c>
      <c r="C14" s="16" t="n">
        <f aca="false">MAX(C7:C13)</f>
        <v>1.36</v>
      </c>
      <c r="H14" s="16" t="n">
        <f aca="false">MAX(H7:H13)</f>
        <v>1.15</v>
      </c>
    </row>
    <row r="15" customFormat="false" ht="14.25" hidden="false" customHeight="true" outlineLevel="0" collapsed="false"/>
    <row r="16" customFormat="false" ht="15" hidden="false" customHeight="true" outlineLevel="0" collapsed="false">
      <c r="B16" s="17" t="s">
        <v>34</v>
      </c>
      <c r="C16" s="17" t="s">
        <v>35</v>
      </c>
      <c r="D16" s="18" t="n">
        <v>28800</v>
      </c>
      <c r="E16" s="17" t="s">
        <v>36</v>
      </c>
      <c r="G16" s="18" t="n">
        <v>28800</v>
      </c>
    </row>
    <row r="17" customFormat="false" ht="15" hidden="false" customHeight="true" outlineLevel="0" collapsed="false">
      <c r="B17" s="17" t="s">
        <v>37</v>
      </c>
      <c r="C17" s="17" t="s">
        <v>38</v>
      </c>
      <c r="D17" s="19" t="n">
        <v>0</v>
      </c>
      <c r="E17" s="17" t="s">
        <v>36</v>
      </c>
      <c r="G17" s="19" t="n">
        <v>0</v>
      </c>
    </row>
    <row r="18" customFormat="false" ht="15" hidden="false" customHeight="true" outlineLevel="0" collapsed="false">
      <c r="B18" s="17" t="s">
        <v>39</v>
      </c>
      <c r="C18" s="17" t="s">
        <v>40</v>
      </c>
      <c r="D18" s="18" t="n">
        <f aca="false">D16-D17</f>
        <v>28800</v>
      </c>
      <c r="E18" s="17" t="s">
        <v>36</v>
      </c>
      <c r="G18" s="18" t="n">
        <f aca="false">G16-G17</f>
        <v>28800</v>
      </c>
    </row>
    <row r="19" customFormat="false" ht="15" hidden="false" customHeight="true" outlineLevel="0" collapsed="false">
      <c r="B19" s="17" t="s">
        <v>41</v>
      </c>
      <c r="C19" s="17" t="s">
        <v>42</v>
      </c>
      <c r="D19" s="18" t="n">
        <v>930.24</v>
      </c>
      <c r="E19" s="17" t="s">
        <v>36</v>
      </c>
      <c r="G19" s="8" t="n">
        <f aca="false">G18-G20</f>
        <v>191</v>
      </c>
    </row>
    <row r="20" customFormat="false" ht="15" hidden="false" customHeight="true" outlineLevel="0" collapsed="false">
      <c r="B20" s="17" t="s">
        <v>43</v>
      </c>
      <c r="C20" s="17" t="s">
        <v>44</v>
      </c>
      <c r="D20" s="18" t="n">
        <f aca="false">D18-D19</f>
        <v>27869.76</v>
      </c>
      <c r="E20" s="17" t="s">
        <v>36</v>
      </c>
      <c r="G20" s="8" t="n">
        <v>28609</v>
      </c>
    </row>
    <row r="21" customFormat="false" ht="15" hidden="false" customHeight="true" outlineLevel="0" collapsed="false">
      <c r="B21" s="17" t="s">
        <v>45</v>
      </c>
      <c r="C21" s="17" t="s">
        <v>46</v>
      </c>
      <c r="D21" s="18" t="n">
        <f aca="false">D20/D18*100</f>
        <v>96.77</v>
      </c>
      <c r="E21" s="17" t="s">
        <v>47</v>
      </c>
      <c r="G21" s="18" t="n">
        <f aca="false">G20/G18*100</f>
        <v>99.3368055555556</v>
      </c>
    </row>
    <row r="22" customFormat="false" ht="15" hidden="false" customHeight="true" outlineLevel="0" collapsed="false">
      <c r="B22" s="17" t="s">
        <v>48</v>
      </c>
      <c r="C22" s="17" t="s">
        <v>49</v>
      </c>
      <c r="D22" s="18" t="n">
        <v>432000</v>
      </c>
      <c r="E22" s="17" t="s">
        <v>36</v>
      </c>
    </row>
    <row r="23" customFormat="false" ht="13.5" hidden="false" customHeight="true" outlineLevel="0" collapsed="false">
      <c r="B23" s="17" t="s">
        <v>50</v>
      </c>
      <c r="C23" s="17" t="s">
        <v>51</v>
      </c>
      <c r="D23" s="18" t="n">
        <f aca="false">3600*4</f>
        <v>14400</v>
      </c>
      <c r="E23" s="17" t="s">
        <v>36</v>
      </c>
    </row>
    <row r="24" customFormat="false" ht="13.5" hidden="false" customHeight="true" outlineLevel="0" collapsed="false">
      <c r="B24" s="17" t="s">
        <v>52</v>
      </c>
      <c r="C24" s="6" t="s">
        <v>46</v>
      </c>
      <c r="D24" s="20" t="n">
        <f aca="false">100*D22/(D22+D23)</f>
        <v>96.7741935483871</v>
      </c>
      <c r="E24" s="17" t="s">
        <v>47</v>
      </c>
      <c r="F24" s="21" t="s">
        <v>53</v>
      </c>
      <c r="G24" s="22" t="n">
        <v>99.34</v>
      </c>
      <c r="H24" s="22" t="s">
        <v>47</v>
      </c>
    </row>
    <row r="28" customFormat="false" ht="14.25" hidden="false" customHeight="true" outlineLevel="0" collapsed="false">
      <c r="D28" s="5" t="s">
        <v>54</v>
      </c>
      <c r="E28" s="5" t="s">
        <v>55</v>
      </c>
    </row>
    <row r="29" customFormat="false" ht="14.25" hidden="false" customHeight="true" outlineLevel="0" collapsed="false">
      <c r="B29" s="9" t="s">
        <v>56</v>
      </c>
      <c r="C29" s="9" t="s">
        <v>57</v>
      </c>
      <c r="D29" s="8" t="n">
        <f aca="false">D3*3*7</f>
        <v>533232</v>
      </c>
      <c r="E29" s="8" t="n">
        <f aca="false">D3*3*7</f>
        <v>533232</v>
      </c>
    </row>
    <row r="30" customFormat="false" ht="14.25" hidden="false" customHeight="true" outlineLevel="0" collapsed="false">
      <c r="B30" s="23" t="s">
        <v>58</v>
      </c>
      <c r="C30" s="23" t="s">
        <v>59</v>
      </c>
      <c r="D30" s="8" t="n">
        <v>60</v>
      </c>
      <c r="E30" s="8" t="n">
        <v>60</v>
      </c>
    </row>
    <row r="31" customFormat="false" ht="13.5" hidden="false" customHeight="true" outlineLevel="0" collapsed="false">
      <c r="B31" s="23" t="s">
        <v>60</v>
      </c>
      <c r="C31" s="23" t="s">
        <v>61</v>
      </c>
      <c r="D31" s="8" t="n">
        <f aca="false">C14/60</f>
        <v>0.0226666666666667</v>
      </c>
      <c r="E31" s="8" t="n">
        <f aca="false">H14/60</f>
        <v>0.0191666666666667</v>
      </c>
    </row>
    <row r="32" customFormat="false" ht="14.25" hidden="false" customHeight="true" outlineLevel="0" collapsed="false">
      <c r="B32" s="23" t="s">
        <v>62</v>
      </c>
      <c r="C32" s="23" t="s">
        <v>63</v>
      </c>
      <c r="D32" s="8" t="n">
        <f aca="false">D30+D29*D31</f>
        <v>12146.592</v>
      </c>
      <c r="E32" s="8" t="n">
        <f aca="false">E30+E29*E31</f>
        <v>10280.28</v>
      </c>
      <c r="L32" s="1" t="s">
        <v>64</v>
      </c>
    </row>
    <row r="33" customFormat="false" ht="12.75" hidden="false" customHeight="true" outlineLevel="0" collapsed="false">
      <c r="B33" s="9" t="s">
        <v>65</v>
      </c>
      <c r="C33" s="9" t="s">
        <v>66</v>
      </c>
      <c r="D33" s="8" t="n">
        <f aca="false">D32/D29</f>
        <v>0.0227791880457287</v>
      </c>
      <c r="E33" s="8" t="n">
        <f aca="false">E32/E29</f>
        <v>0.0192791880457287</v>
      </c>
    </row>
    <row r="34" customFormat="false" ht="13.5" hidden="false" customHeight="true" outlineLevel="0" collapsed="false">
      <c r="B34" s="23" t="s">
        <v>67</v>
      </c>
      <c r="C34" s="23" t="s">
        <v>68</v>
      </c>
      <c r="D34" s="9" t="n">
        <f aca="false">60/D33</f>
        <v>2633.98326048986</v>
      </c>
      <c r="E34" s="9" t="n">
        <f aca="false">60/E33</f>
        <v>3112.16426011743</v>
      </c>
    </row>
    <row r="35" customFormat="false" ht="14.25" hidden="false" customHeight="true" outlineLevel="0" collapsed="false"/>
    <row r="36" customFormat="false" ht="15" hidden="false" customHeight="true" outlineLevel="0" collapsed="false">
      <c r="D36" s="5" t="s">
        <v>54</v>
      </c>
      <c r="E36" s="5" t="s">
        <v>55</v>
      </c>
    </row>
    <row r="37" customFormat="false" ht="14.25" hidden="false" customHeight="true" outlineLevel="0" collapsed="false">
      <c r="B37" s="2" t="s">
        <v>69</v>
      </c>
      <c r="C37" s="2" t="s">
        <v>70</v>
      </c>
      <c r="D37" s="3" t="n">
        <v>1</v>
      </c>
      <c r="E37" s="3" t="n">
        <v>1</v>
      </c>
      <c r="F37" s="2" t="s">
        <v>71</v>
      </c>
    </row>
    <row r="38" customFormat="false" ht="15" hidden="false" customHeight="true" outlineLevel="0" collapsed="false">
      <c r="B38" s="2" t="s">
        <v>72</v>
      </c>
      <c r="C38" s="2" t="s">
        <v>73</v>
      </c>
      <c r="D38" s="24" t="n">
        <f aca="false">7*3</f>
        <v>21</v>
      </c>
      <c r="E38" s="24" t="n">
        <f aca="false">7*3</f>
        <v>21</v>
      </c>
      <c r="F38" s="2" t="s">
        <v>74</v>
      </c>
    </row>
    <row r="39" customFormat="false" ht="13.5" hidden="false" customHeight="true" outlineLevel="0" collapsed="false">
      <c r="B39" s="2" t="s">
        <v>75</v>
      </c>
      <c r="C39" s="2" t="s">
        <v>76</v>
      </c>
      <c r="D39" s="3" t="n">
        <v>8</v>
      </c>
      <c r="E39" s="3" t="n">
        <v>8</v>
      </c>
      <c r="F39" s="2" t="s">
        <v>77</v>
      </c>
    </row>
    <row r="40" customFormat="false" ht="13.5" hidden="false" customHeight="true" outlineLevel="0" collapsed="false">
      <c r="B40" s="2" t="s">
        <v>78</v>
      </c>
      <c r="C40" s="2" t="s">
        <v>79</v>
      </c>
      <c r="D40" s="25" t="n">
        <f aca="false">D37*D38*D39*D34</f>
        <v>442509.187762296</v>
      </c>
      <c r="E40" s="25" t="n">
        <f aca="false">E37*E38*E39*E34</f>
        <v>522843.595699728</v>
      </c>
      <c r="F40" s="26" t="s">
        <v>80</v>
      </c>
    </row>
    <row r="41" customFormat="false" ht="14.25" hidden="false" customHeight="true" outlineLevel="0" collapsed="false"/>
    <row r="42" customFormat="false" ht="12.75" hidden="false" customHeight="true" outlineLevel="0" collapsed="false">
      <c r="D42" s="5" t="s">
        <v>54</v>
      </c>
      <c r="E42" s="5" t="s">
        <v>55</v>
      </c>
    </row>
    <row r="43" customFormat="false" ht="13.5" hidden="false" customHeight="true" outlineLevel="0" collapsed="false">
      <c r="B43" s="26" t="s">
        <v>81</v>
      </c>
      <c r="C43" s="26" t="s">
        <v>82</v>
      </c>
      <c r="D43" s="8" t="n">
        <f aca="false">D29/D40</f>
        <v>1.20501904761905</v>
      </c>
      <c r="E43" s="8" t="n">
        <f aca="false">E29/E40</f>
        <v>1.01986904761905</v>
      </c>
      <c r="F43" s="26" t="s">
        <v>80</v>
      </c>
    </row>
    <row r="51" customFormat="false" ht="12.75" hidden="false" customHeight="true" outlineLevel="0" collapsed="false">
      <c r="D51" s="5" t="s">
        <v>83</v>
      </c>
      <c r="E51" s="5" t="s">
        <v>55</v>
      </c>
      <c r="G51" s="5" t="s">
        <v>84</v>
      </c>
      <c r="H51" s="5" t="s">
        <v>85</v>
      </c>
    </row>
    <row r="52" customFormat="false" ht="12.75" hidden="false" customHeight="true" outlineLevel="0" collapsed="false">
      <c r="B52" s="8"/>
      <c r="C52" s="9" t="s">
        <v>86</v>
      </c>
      <c r="D52" s="8" t="n">
        <f aca="false">(H52*8*C14)/G20</f>
        <v>0.978489286588137</v>
      </c>
      <c r="E52" s="27" t="n">
        <f aca="false">(G52*8*H14)/G20</f>
        <v>0.981791184592261</v>
      </c>
      <c r="G52" s="1" t="n">
        <f aca="false">0.97528*(3600/H14)</f>
        <v>3053.05043478261</v>
      </c>
      <c r="H52" s="1" t="n">
        <f aca="false">0.972*(3600/C14)</f>
        <v>2572.94117647059</v>
      </c>
      <c r="I52" s="28" t="s">
        <v>87</v>
      </c>
    </row>
    <row r="53" customFormat="false" ht="12.75" hidden="false" customHeight="true" outlineLevel="0" collapsed="false">
      <c r="B53" s="8"/>
      <c r="C53" s="9" t="s">
        <v>88</v>
      </c>
      <c r="D53" s="8" t="n">
        <f aca="false">D4/C14</f>
        <v>0.807044367841655</v>
      </c>
      <c r="E53" s="8" t="n">
        <f aca="false">MIN(1,D4/H14)</f>
        <v>0.954417687186652</v>
      </c>
    </row>
    <row r="54" customFormat="false" ht="12.75" hidden="false" customHeight="true" outlineLevel="0" collapsed="false">
      <c r="B54" s="8"/>
      <c r="C54" s="9" t="s">
        <v>89</v>
      </c>
      <c r="D54" s="8" t="n">
        <f aca="false">D52*D53</f>
        <v>0.789684267734354</v>
      </c>
      <c r="E54" s="8" t="n">
        <f aca="false">E52*E53</f>
        <v>0.93703887169879</v>
      </c>
    </row>
    <row r="55" customFormat="false" ht="12.75" hidden="false" customHeight="true" outlineLevel="0" collapsed="false">
      <c r="B55" s="9" t="s">
        <v>90</v>
      </c>
      <c r="C55" s="9" t="s">
        <v>57</v>
      </c>
      <c r="D55" s="8" t="n">
        <v>1</v>
      </c>
      <c r="E55" s="8" t="n">
        <v>1</v>
      </c>
    </row>
    <row r="56" customFormat="false" ht="12.75" hidden="false" customHeight="true" outlineLevel="0" collapsed="false">
      <c r="B56" s="29" t="s">
        <v>91</v>
      </c>
      <c r="C56" s="30" t="s">
        <v>91</v>
      </c>
      <c r="D56" s="31" t="n">
        <f aca="false">D55*D24*D54</f>
        <v>76.4210581678408</v>
      </c>
      <c r="E56" s="31" t="n">
        <f aca="false">E54*E55*D24</f>
        <v>90.681181132141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10" activeCellId="0" sqref="D10"/>
    </sheetView>
  </sheetViews>
  <sheetFormatPr defaultColWidth="11.42578125" defaultRowHeight="12.75" zeroHeight="false" outlineLevelRow="0" outlineLevelCol="0"/>
  <cols>
    <col collapsed="false" customWidth="true" hidden="false" outlineLevel="0" max="2" min="2" style="1" width="62.57"/>
    <col collapsed="false" customWidth="true" hidden="false" outlineLevel="0" max="4" min="4" style="1" width="16.84"/>
    <col collapsed="false" customWidth="true" hidden="false" outlineLevel="0" max="5" min="5" style="1" width="26.16"/>
    <col collapsed="false" customWidth="true" hidden="false" outlineLevel="0" max="6" min="6" style="1" width="28.42"/>
    <col collapsed="false" customWidth="true" hidden="false" outlineLevel="0" max="7" min="7" style="1" width="53.29"/>
    <col collapsed="false" customWidth="true" hidden="false" outlineLevel="0" max="8" min="8" style="1" width="31.57"/>
    <col collapsed="false" customWidth="true" hidden="false" outlineLevel="0" max="10" min="10" style="1" width="15.42"/>
    <col collapsed="false" customWidth="true" hidden="false" outlineLevel="0" max="12" min="12" style="1" width="18.29"/>
    <col collapsed="false" customWidth="true" hidden="false" outlineLevel="0" max="13" min="13" style="1" width="78"/>
  </cols>
  <sheetData>
    <row r="2" customFormat="false" ht="14.25" hidden="false" customHeight="true" outlineLevel="0" collapsed="false">
      <c r="B2" s="2" t="s">
        <v>0</v>
      </c>
      <c r="C2" s="2" t="s">
        <v>1</v>
      </c>
      <c r="D2" s="3" t="n">
        <f aca="false">D22</f>
        <v>24270.9677419355</v>
      </c>
      <c r="G2" s="5" t="s">
        <v>92</v>
      </c>
      <c r="H2" s="1" t="n">
        <f aca="false">D3/0.65</f>
        <v>123287</v>
      </c>
    </row>
    <row r="3" customFormat="false" ht="14.25" hidden="false" customHeight="true" outlineLevel="0" collapsed="false">
      <c r="B3" s="32" t="s">
        <v>93</v>
      </c>
      <c r="C3" s="2" t="s">
        <v>3</v>
      </c>
      <c r="D3" s="3" t="n">
        <f aca="false">123287*0.65</f>
        <v>80136.55</v>
      </c>
      <c r="E3" s="5" t="s">
        <v>94</v>
      </c>
      <c r="G3" s="9" t="s">
        <v>95</v>
      </c>
      <c r="H3" s="8" t="n">
        <f aca="false">D3/8</f>
        <v>10017.06875</v>
      </c>
      <c r="J3" s="1" t="s">
        <v>5</v>
      </c>
    </row>
    <row r="4" customFormat="false" ht="15" hidden="false" customHeight="true" outlineLevel="0" collapsed="false">
      <c r="B4" s="4" t="s">
        <v>6</v>
      </c>
      <c r="C4" s="6" t="s">
        <v>7</v>
      </c>
      <c r="D4" s="7" t="n">
        <f aca="false">D2/D3</f>
        <v>0.302870135311983</v>
      </c>
    </row>
    <row r="5" customFormat="false" ht="12.75" hidden="false" customHeight="true" outlineLevel="0" collapsed="false">
      <c r="H5" s="8" t="s">
        <v>8</v>
      </c>
    </row>
    <row r="6" customFormat="false" ht="13.5" hidden="false" customHeight="true" outlineLevel="0" collapsed="false">
      <c r="C6" s="9" t="s">
        <v>9</v>
      </c>
      <c r="D6" s="9" t="s">
        <v>10</v>
      </c>
      <c r="E6" s="9" t="s">
        <v>11</v>
      </c>
      <c r="F6" s="9" t="s">
        <v>12</v>
      </c>
      <c r="H6" s="9" t="s">
        <v>9</v>
      </c>
      <c r="M6" s="33"/>
    </row>
    <row r="7" customFormat="false" ht="15.75" hidden="false" customHeight="true" outlineLevel="0" collapsed="false">
      <c r="B7" s="11" t="s">
        <v>96</v>
      </c>
      <c r="C7" s="12" t="n">
        <f aca="false">D7+E7+F7</f>
        <v>0.3</v>
      </c>
      <c r="D7" s="8" t="n">
        <f aca="false">0.3</f>
        <v>0.3</v>
      </c>
      <c r="E7" s="8" t="n">
        <v>0</v>
      </c>
      <c r="F7" s="8" t="n">
        <v>0</v>
      </c>
      <c r="H7" s="8" t="n">
        <f aca="false">C7</f>
        <v>0.3</v>
      </c>
    </row>
    <row r="8" customFormat="false" ht="15.75" hidden="false" customHeight="true" outlineLevel="0" collapsed="false">
      <c r="B8" s="11" t="s">
        <v>97</v>
      </c>
      <c r="C8" s="12" t="n">
        <f aca="false">D8+E8+F8</f>
        <v>0.3</v>
      </c>
      <c r="D8" s="8" t="n">
        <f aca="false">3600/12000</f>
        <v>0.3</v>
      </c>
      <c r="E8" s="8" t="n">
        <v>0</v>
      </c>
      <c r="F8" s="8" t="n">
        <v>0</v>
      </c>
      <c r="H8" s="8" t="n">
        <f aca="false">C8</f>
        <v>0.3</v>
      </c>
      <c r="M8" s="5"/>
    </row>
    <row r="9" customFormat="false" ht="15" hidden="false" customHeight="true" outlineLevel="0" collapsed="false">
      <c r="B9" s="34" t="s">
        <v>98</v>
      </c>
      <c r="C9" s="12" t="n">
        <f aca="false">D9+E9+F9</f>
        <v>0.25</v>
      </c>
      <c r="D9" s="8" t="n">
        <f aca="false">0.25</f>
        <v>0.25</v>
      </c>
      <c r="E9" s="8" t="n">
        <v>0</v>
      </c>
      <c r="F9" s="8" t="n">
        <v>0</v>
      </c>
      <c r="H9" s="8" t="n">
        <f aca="false">C9</f>
        <v>0.25</v>
      </c>
    </row>
    <row r="10" customFormat="false" ht="15" hidden="false" customHeight="true" outlineLevel="0" collapsed="false">
      <c r="B10" s="35" t="s">
        <v>99</v>
      </c>
      <c r="C10" s="12" t="n">
        <f aca="false">D10+E10+F10</f>
        <v>0.225</v>
      </c>
      <c r="D10" s="8" t="n">
        <f aca="false">3600/16000</f>
        <v>0.225</v>
      </c>
      <c r="E10" s="8" t="n">
        <v>0</v>
      </c>
      <c r="F10" s="8" t="n">
        <v>0</v>
      </c>
      <c r="H10" s="8" t="n">
        <f aca="false">C10</f>
        <v>0.225</v>
      </c>
    </row>
    <row r="11" customFormat="false" ht="15" hidden="false" customHeight="true" outlineLevel="0" collapsed="false">
      <c r="B11" s="35" t="s">
        <v>100</v>
      </c>
      <c r="C11" s="12" t="n">
        <f aca="false">D11+E11+F11</f>
        <v>0.18</v>
      </c>
      <c r="D11" s="8" t="n">
        <f aca="false">3600/20000</f>
        <v>0.18</v>
      </c>
      <c r="E11" s="8" t="n">
        <v>0</v>
      </c>
      <c r="F11" s="8" t="n">
        <v>0</v>
      </c>
      <c r="H11" s="8" t="n">
        <f aca="false">C11</f>
        <v>0.18</v>
      </c>
    </row>
    <row r="12" customFormat="false" ht="15" hidden="false" customHeight="true" outlineLevel="0" collapsed="false">
      <c r="B12" s="35" t="s">
        <v>21</v>
      </c>
      <c r="C12" s="12" t="n">
        <f aca="false">D12+E12+F12</f>
        <v>0.12</v>
      </c>
      <c r="D12" s="8" t="n">
        <v>0.12</v>
      </c>
      <c r="E12" s="8" t="n">
        <v>0</v>
      </c>
      <c r="F12" s="8" t="n">
        <v>0</v>
      </c>
      <c r="H12" s="8" t="n">
        <f aca="false">C12</f>
        <v>0.12</v>
      </c>
    </row>
    <row r="13" customFormat="false" ht="15" hidden="false" customHeight="true" outlineLevel="0" collapsed="false">
      <c r="B13" s="35" t="s">
        <v>23</v>
      </c>
      <c r="C13" s="12" t="n">
        <f aca="false">D13+E13+F13</f>
        <v>0.441666666666667</v>
      </c>
      <c r="D13" s="8" t="n">
        <f aca="false">5.3/12</f>
        <v>0.441666666666667</v>
      </c>
      <c r="E13" s="8" t="n">
        <v>0</v>
      </c>
      <c r="F13" s="8" t="n">
        <v>0</v>
      </c>
      <c r="G13" s="5" t="s">
        <v>101</v>
      </c>
      <c r="H13" s="8" t="n">
        <f aca="false">3/12</f>
        <v>0.25</v>
      </c>
    </row>
    <row r="14" customFormat="false" ht="15" hidden="false" customHeight="true" outlineLevel="0" collapsed="false">
      <c r="B14" s="35" t="s">
        <v>25</v>
      </c>
      <c r="C14" s="12" t="n">
        <f aca="false">D14+E14+F14</f>
        <v>0.416666666666667</v>
      </c>
      <c r="D14" s="9" t="n">
        <f aca="false">5/12</f>
        <v>0.416666666666667</v>
      </c>
      <c r="E14" s="8" t="n">
        <v>0</v>
      </c>
      <c r="F14" s="8" t="n">
        <v>0</v>
      </c>
      <c r="G14" s="5" t="s">
        <v>102</v>
      </c>
      <c r="H14" s="8" t="n">
        <f aca="false">3/12</f>
        <v>0.25</v>
      </c>
      <c r="J14" s="5"/>
    </row>
    <row r="15" customFormat="false" ht="15" hidden="false" customHeight="true" outlineLevel="0" collapsed="false">
      <c r="B15" s="35" t="s">
        <v>103</v>
      </c>
      <c r="C15" s="12" t="n">
        <f aca="false">D15+E15+F15</f>
        <v>0.416666666666667</v>
      </c>
      <c r="D15" s="9" t="n">
        <f aca="false">(5)/12</f>
        <v>0.416666666666667</v>
      </c>
      <c r="E15" s="8" t="n">
        <v>0</v>
      </c>
      <c r="F15" s="8" t="n">
        <v>0</v>
      </c>
      <c r="G15" s="5" t="s">
        <v>104</v>
      </c>
      <c r="H15" s="8" t="n">
        <f aca="false">2/12</f>
        <v>0.166666666666667</v>
      </c>
      <c r="J15" s="5"/>
    </row>
    <row r="16" customFormat="false" ht="15" hidden="false" customHeight="true" outlineLevel="0" collapsed="false">
      <c r="B16" s="36" t="s">
        <v>33</v>
      </c>
      <c r="C16" s="16" t="n">
        <f aca="false">MAX(C7:C15)</f>
        <v>0.441666666666667</v>
      </c>
      <c r="H16" s="16" t="n">
        <f aca="false">MAX(H7:H15)</f>
        <v>0.3</v>
      </c>
    </row>
    <row r="18" customFormat="false" ht="15" hidden="false" customHeight="true" outlineLevel="0" collapsed="false">
      <c r="B18" s="17" t="s">
        <v>34</v>
      </c>
      <c r="C18" s="17" t="s">
        <v>35</v>
      </c>
      <c r="D18" s="18" t="n">
        <f aca="false">60*60*8</f>
        <v>28800</v>
      </c>
      <c r="E18" s="17" t="s">
        <v>36</v>
      </c>
      <c r="G18" s="18" t="n">
        <v>28800</v>
      </c>
    </row>
    <row r="19" customFormat="false" ht="14.25" hidden="false" customHeight="true" outlineLevel="0" collapsed="false">
      <c r="B19" s="17" t="s">
        <v>37</v>
      </c>
      <c r="C19" s="17" t="s">
        <v>38</v>
      </c>
      <c r="D19" s="19" t="n">
        <v>3600</v>
      </c>
      <c r="E19" s="17" t="s">
        <v>36</v>
      </c>
      <c r="G19" s="19" t="n">
        <v>0</v>
      </c>
    </row>
    <row r="20" customFormat="false" ht="15" hidden="false" customHeight="true" outlineLevel="0" collapsed="false">
      <c r="B20" s="17" t="s">
        <v>39</v>
      </c>
      <c r="C20" s="17" t="s">
        <v>40</v>
      </c>
      <c r="D20" s="18" t="n">
        <f aca="false">D18-D19</f>
        <v>25200</v>
      </c>
      <c r="E20" s="17" t="s">
        <v>36</v>
      </c>
      <c r="G20" s="18" t="n">
        <f aca="false">G18-G19</f>
        <v>28800</v>
      </c>
    </row>
    <row r="21" customFormat="false" ht="15" hidden="false" customHeight="true" outlineLevel="0" collapsed="false">
      <c r="B21" s="17" t="s">
        <v>41</v>
      </c>
      <c r="C21" s="17" t="s">
        <v>42</v>
      </c>
      <c r="D21" s="37" t="n">
        <f aca="false">((100-D26)/100)*D18</f>
        <v>929.032258064514</v>
      </c>
      <c r="E21" s="17" t="s">
        <v>36</v>
      </c>
      <c r="G21" s="8" t="n">
        <f aca="false">G20-G22</f>
        <v>191</v>
      </c>
    </row>
    <row r="22" customFormat="false" ht="15" hidden="false" customHeight="true" outlineLevel="0" collapsed="false">
      <c r="B22" s="17" t="s">
        <v>43</v>
      </c>
      <c r="C22" s="17" t="s">
        <v>44</v>
      </c>
      <c r="D22" s="37" t="n">
        <f aca="false">D20-D21</f>
        <v>24270.9677419355</v>
      </c>
      <c r="E22" s="17" t="s">
        <v>36</v>
      </c>
      <c r="G22" s="8" t="n">
        <v>28609</v>
      </c>
    </row>
    <row r="23" customFormat="false" ht="15" hidden="false" customHeight="true" outlineLevel="0" collapsed="false">
      <c r="B23" s="17" t="s">
        <v>45</v>
      </c>
      <c r="C23" s="17" t="s">
        <v>46</v>
      </c>
      <c r="D23" s="37" t="n">
        <f aca="false">D22/D20*100</f>
        <v>96.3133640552995</v>
      </c>
      <c r="E23" s="17" t="s">
        <v>47</v>
      </c>
      <c r="G23" s="18" t="n">
        <f aca="false">G22/G20*100</f>
        <v>99.3368055555556</v>
      </c>
    </row>
    <row r="24" customFormat="false" ht="15" hidden="false" customHeight="true" outlineLevel="0" collapsed="false">
      <c r="B24" s="17" t="s">
        <v>48</v>
      </c>
      <c r="C24" s="17" t="s">
        <v>49</v>
      </c>
      <c r="D24" s="18" t="n">
        <v>432000</v>
      </c>
      <c r="E24" s="17" t="s">
        <v>36</v>
      </c>
    </row>
    <row r="25" customFormat="false" ht="15" hidden="false" customHeight="true" outlineLevel="0" collapsed="false">
      <c r="B25" s="17" t="s">
        <v>50</v>
      </c>
      <c r="C25" s="17" t="s">
        <v>51</v>
      </c>
      <c r="D25" s="18" t="n">
        <f aca="false">3600*4</f>
        <v>14400</v>
      </c>
      <c r="E25" s="17" t="s">
        <v>36</v>
      </c>
    </row>
    <row r="26" customFormat="false" ht="15" hidden="false" customHeight="true" outlineLevel="0" collapsed="false">
      <c r="B26" s="17" t="s">
        <v>52</v>
      </c>
      <c r="C26" s="6" t="s">
        <v>46</v>
      </c>
      <c r="D26" s="38" t="n">
        <f aca="false">100*D24/(D24+D25)</f>
        <v>96.7741935483871</v>
      </c>
      <c r="E26" s="17" t="s">
        <v>47</v>
      </c>
      <c r="F26" s="21" t="s">
        <v>53</v>
      </c>
      <c r="G26" s="22" t="n">
        <v>99.34</v>
      </c>
      <c r="H26" s="22" t="s">
        <v>47</v>
      </c>
    </row>
    <row r="30" customFormat="false" ht="12.75" hidden="false" customHeight="true" outlineLevel="0" collapsed="false">
      <c r="D30" s="5" t="s">
        <v>54</v>
      </c>
      <c r="E30" s="5" t="s">
        <v>55</v>
      </c>
    </row>
    <row r="31" customFormat="false" ht="12.75" hidden="false" customHeight="true" outlineLevel="0" collapsed="false">
      <c r="B31" s="9" t="s">
        <v>56</v>
      </c>
      <c r="C31" s="9" t="s">
        <v>57</v>
      </c>
      <c r="D31" s="8" t="n">
        <f aca="false">H54*7</f>
        <v>421764</v>
      </c>
      <c r="E31" s="8" t="n">
        <f aca="false">G54*7</f>
        <v>580020</v>
      </c>
    </row>
    <row r="32" customFormat="false" ht="14.25" hidden="false" customHeight="true" outlineLevel="0" collapsed="false">
      <c r="B32" s="23" t="s">
        <v>58</v>
      </c>
      <c r="C32" s="23" t="s">
        <v>59</v>
      </c>
      <c r="D32" s="8" t="n">
        <v>60</v>
      </c>
      <c r="E32" s="8" t="n">
        <v>60</v>
      </c>
    </row>
    <row r="33" customFormat="false" ht="14.25" hidden="false" customHeight="true" outlineLevel="0" collapsed="false">
      <c r="B33" s="23" t="s">
        <v>60</v>
      </c>
      <c r="C33" s="23" t="s">
        <v>61</v>
      </c>
      <c r="D33" s="8" t="n">
        <f aca="false">C16/60</f>
        <v>0.00736111111111111</v>
      </c>
      <c r="E33" s="8" t="n">
        <f aca="false">H16/60</f>
        <v>0.005</v>
      </c>
    </row>
    <row r="34" customFormat="false" ht="14.25" hidden="false" customHeight="true" outlineLevel="0" collapsed="false">
      <c r="B34" s="23" t="s">
        <v>62</v>
      </c>
      <c r="C34" s="23" t="s">
        <v>63</v>
      </c>
      <c r="D34" s="8" t="n">
        <f aca="false">D32+D31*D33</f>
        <v>3164.65166666667</v>
      </c>
      <c r="E34" s="8" t="n">
        <f aca="false">E32+E31*E33</f>
        <v>2960.1</v>
      </c>
      <c r="L34" s="1" t="s">
        <v>64</v>
      </c>
    </row>
    <row r="35" customFormat="false" ht="12.75" hidden="false" customHeight="true" outlineLevel="0" collapsed="false">
      <c r="B35" s="9" t="s">
        <v>65</v>
      </c>
      <c r="C35" s="9" t="s">
        <v>66</v>
      </c>
      <c r="D35" s="8" t="n">
        <f aca="false">D34/D31</f>
        <v>0.00750337076342852</v>
      </c>
      <c r="E35" s="8" t="n">
        <f aca="false">E34/E31</f>
        <v>0.00510344470880314</v>
      </c>
    </row>
    <row r="36" customFormat="false" ht="14.25" hidden="false" customHeight="true" outlineLevel="0" collapsed="false">
      <c r="B36" s="23" t="s">
        <v>67</v>
      </c>
      <c r="C36" s="23" t="s">
        <v>68</v>
      </c>
      <c r="D36" s="9" t="n">
        <f aca="false">60/D35</f>
        <v>7996.40613421909</v>
      </c>
      <c r="E36" s="9" t="n">
        <f aca="false">60/E35</f>
        <v>11756.7649741563</v>
      </c>
    </row>
    <row r="38" customFormat="false" ht="12.75" hidden="false" customHeight="true" outlineLevel="0" collapsed="false">
      <c r="D38" s="5" t="s">
        <v>54</v>
      </c>
      <c r="E38" s="5" t="s">
        <v>55</v>
      </c>
    </row>
    <row r="39" customFormat="false" ht="14.25" hidden="false" customHeight="true" outlineLevel="0" collapsed="false">
      <c r="B39" s="2" t="s">
        <v>69</v>
      </c>
      <c r="C39" s="2" t="s">
        <v>70</v>
      </c>
      <c r="D39" s="3" t="n">
        <v>1</v>
      </c>
      <c r="E39" s="3" t="n">
        <v>1</v>
      </c>
      <c r="F39" s="2" t="s">
        <v>71</v>
      </c>
    </row>
    <row r="40" customFormat="false" ht="15" hidden="false" customHeight="true" outlineLevel="0" collapsed="false">
      <c r="B40" s="2" t="s">
        <v>72</v>
      </c>
      <c r="C40" s="2" t="s">
        <v>73</v>
      </c>
      <c r="D40" s="24" t="n">
        <f aca="false">7</f>
        <v>7</v>
      </c>
      <c r="E40" s="24" t="n">
        <v>7</v>
      </c>
      <c r="F40" s="2" t="s">
        <v>74</v>
      </c>
    </row>
    <row r="41" customFormat="false" ht="14.25" hidden="false" customHeight="true" outlineLevel="0" collapsed="false">
      <c r="B41" s="2" t="s">
        <v>75</v>
      </c>
      <c r="C41" s="2" t="s">
        <v>76</v>
      </c>
      <c r="D41" s="3" t="n">
        <v>8</v>
      </c>
      <c r="E41" s="3" t="n">
        <v>8</v>
      </c>
      <c r="F41" s="2" t="s">
        <v>77</v>
      </c>
    </row>
    <row r="42" customFormat="false" ht="15" hidden="false" customHeight="true" outlineLevel="0" collapsed="false">
      <c r="B42" s="2" t="s">
        <v>78</v>
      </c>
      <c r="C42" s="2" t="s">
        <v>79</v>
      </c>
      <c r="D42" s="25" t="n">
        <f aca="false">D39*D40*D41*D36</f>
        <v>447798.743516269</v>
      </c>
      <c r="E42" s="25" t="n">
        <f aca="false">E39*E40*E41*E36</f>
        <v>658378.838552752</v>
      </c>
      <c r="F42" s="26" t="s">
        <v>105</v>
      </c>
    </row>
    <row r="44" customFormat="false" ht="12.75" hidden="false" customHeight="true" outlineLevel="0" collapsed="false">
      <c r="D44" s="5" t="s">
        <v>54</v>
      </c>
      <c r="E44" s="5" t="s">
        <v>55</v>
      </c>
    </row>
    <row r="45" customFormat="false" ht="14.25" hidden="false" customHeight="true" outlineLevel="0" collapsed="false">
      <c r="B45" s="26" t="s">
        <v>81</v>
      </c>
      <c r="C45" s="26" t="s">
        <v>82</v>
      </c>
      <c r="D45" s="39" t="n">
        <f aca="false">D31/D42</f>
        <v>0.941860615079365</v>
      </c>
      <c r="E45" s="39" t="n">
        <f aca="false">E31/E42</f>
        <v>0.880982142857143</v>
      </c>
      <c r="F45" s="26" t="s">
        <v>80</v>
      </c>
    </row>
    <row r="53" customFormat="false" ht="12.75" hidden="false" customHeight="true" outlineLevel="0" collapsed="false">
      <c r="D53" s="5" t="s">
        <v>83</v>
      </c>
      <c r="E53" s="5" t="s">
        <v>55</v>
      </c>
      <c r="G53" s="9" t="s">
        <v>106</v>
      </c>
      <c r="H53" s="9" t="s">
        <v>107</v>
      </c>
    </row>
    <row r="54" customFormat="false" ht="12.75" hidden="false" customHeight="true" outlineLevel="0" collapsed="false">
      <c r="B54" s="8"/>
      <c r="C54" s="9" t="s">
        <v>86</v>
      </c>
      <c r="D54" s="8" t="n">
        <f aca="false">(H54*C16)/G22</f>
        <v>0.930172323394736</v>
      </c>
      <c r="E54" s="27" t="n">
        <f aca="false">(G54*H16)/G22</f>
        <v>0.868887413051837</v>
      </c>
      <c r="G54" s="8" t="n">
        <v>82860</v>
      </c>
      <c r="H54" s="8" t="n">
        <v>60252</v>
      </c>
    </row>
    <row r="55" customFormat="false" ht="12.75" hidden="false" customHeight="true" outlineLevel="0" collapsed="false">
      <c r="B55" s="8"/>
      <c r="C55" s="9" t="s">
        <v>88</v>
      </c>
      <c r="D55" s="8" t="n">
        <f aca="false">D4/C16</f>
        <v>0.685743702593169</v>
      </c>
      <c r="E55" s="8" t="n">
        <f aca="false">MIN(1,D4/H16)</f>
        <v>1</v>
      </c>
    </row>
    <row r="56" customFormat="false" ht="12.75" hidden="false" customHeight="true" outlineLevel="0" collapsed="false">
      <c r="B56" s="8"/>
      <c r="C56" s="9" t="s">
        <v>89</v>
      </c>
      <c r="D56" s="8" t="n">
        <f aca="false">D54*D55</f>
        <v>0.637859813094397</v>
      </c>
      <c r="E56" s="8" t="n">
        <f aca="false">E54*E55</f>
        <v>0.868887413051837</v>
      </c>
    </row>
    <row r="57" customFormat="false" ht="12.75" hidden="false" customHeight="true" outlineLevel="0" collapsed="false">
      <c r="B57" s="9" t="s">
        <v>108</v>
      </c>
      <c r="C57" s="9" t="s">
        <v>46</v>
      </c>
      <c r="D57" s="40" t="n">
        <f aca="false">D26</f>
        <v>96.7741935483871</v>
      </c>
      <c r="E57" s="40" t="n">
        <f aca="false">D26</f>
        <v>96.7741935483871</v>
      </c>
    </row>
    <row r="58" customFormat="false" ht="12.75" hidden="false" customHeight="true" outlineLevel="0" collapsed="false">
      <c r="B58" s="9" t="s">
        <v>90</v>
      </c>
      <c r="C58" s="9" t="s">
        <v>57</v>
      </c>
      <c r="D58" s="39" t="n">
        <v>0.99</v>
      </c>
      <c r="E58" s="39" t="n">
        <v>0.99</v>
      </c>
    </row>
    <row r="59" customFormat="false" ht="12.75" hidden="false" customHeight="true" outlineLevel="0" collapsed="false">
      <c r="B59" s="29" t="s">
        <v>91</v>
      </c>
      <c r="C59" s="30" t="s">
        <v>91</v>
      </c>
      <c r="D59" s="31" t="n">
        <f aca="false">D58*D26*D56</f>
        <v>61.1110853190438</v>
      </c>
      <c r="E59" s="31" t="n">
        <f aca="false">E56*E58*D26</f>
        <v>83.2450198956115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0"/>
  <sheetViews>
    <sheetView showFormulas="false" showGridLines="true" showRowColHeaders="true" showZeros="true" rightToLeft="false" tabSelected="true" showOutlineSymbols="true" defaultGridColor="true" view="normal" topLeftCell="B30" colorId="64" zoomScale="115" zoomScaleNormal="115" zoomScalePageLayoutView="100" workbookViewId="0">
      <selection pane="topLeft" activeCell="E56" activeCellId="0" sqref="E56"/>
    </sheetView>
  </sheetViews>
  <sheetFormatPr defaultColWidth="11.42578125" defaultRowHeight="12.75" zeroHeight="false" outlineLevelRow="0" outlineLevelCol="0"/>
  <cols>
    <col collapsed="false" customWidth="true" hidden="false" outlineLevel="0" max="2" min="2" style="1" width="62.57"/>
    <col collapsed="false" customWidth="true" hidden="false" outlineLevel="0" max="4" min="4" style="1" width="16.84"/>
    <col collapsed="false" customWidth="true" hidden="false" outlineLevel="0" max="5" min="5" style="1" width="26.16"/>
    <col collapsed="false" customWidth="true" hidden="false" outlineLevel="0" max="6" min="6" style="1" width="28.42"/>
    <col collapsed="false" customWidth="true" hidden="false" outlineLevel="0" max="7" min="7" style="1" width="53.29"/>
    <col collapsed="false" customWidth="true" hidden="false" outlineLevel="0" max="8" min="8" style="1" width="31.57"/>
    <col collapsed="false" customWidth="true" hidden="false" outlineLevel="0" max="10" min="10" style="1" width="15.42"/>
    <col collapsed="false" customWidth="true" hidden="false" outlineLevel="0" max="12" min="12" style="1" width="18.29"/>
    <col collapsed="false" customWidth="true" hidden="false" outlineLevel="0" max="13" min="13" style="1" width="78"/>
  </cols>
  <sheetData>
    <row r="2" customFormat="false" ht="14.25" hidden="false" customHeight="true" outlineLevel="0" collapsed="false">
      <c r="B2" s="2" t="s">
        <v>0</v>
      </c>
      <c r="C2" s="2" t="s">
        <v>1</v>
      </c>
      <c r="D2" s="3" t="n">
        <f aca="false">D23</f>
        <v>52141.935483871</v>
      </c>
      <c r="G2" s="5" t="s">
        <v>109</v>
      </c>
      <c r="H2" s="1" t="n">
        <f aca="false">11742</f>
        <v>11742</v>
      </c>
    </row>
    <row r="3" customFormat="false" ht="14.25" hidden="false" customHeight="true" outlineLevel="0" collapsed="false">
      <c r="B3" s="32" t="s">
        <v>93</v>
      </c>
      <c r="C3" s="2" t="s">
        <v>3</v>
      </c>
      <c r="D3" s="3" t="n">
        <f aca="false">H2*16*0.9</f>
        <v>169084.8</v>
      </c>
      <c r="E3" s="5" t="s">
        <v>110</v>
      </c>
      <c r="G3" s="9" t="s">
        <v>111</v>
      </c>
      <c r="H3" s="8" t="n">
        <f aca="false">D3/8</f>
        <v>21135.6</v>
      </c>
      <c r="J3" s="1" t="s">
        <v>5</v>
      </c>
    </row>
    <row r="4" customFormat="false" ht="15" hidden="false" customHeight="true" outlineLevel="0" collapsed="false">
      <c r="B4" s="4" t="s">
        <v>6</v>
      </c>
      <c r="C4" s="6" t="s">
        <v>7</v>
      </c>
      <c r="D4" s="7" t="n">
        <f aca="false">D2/D3</f>
        <v>0.308377426497657</v>
      </c>
    </row>
    <row r="5" customFormat="false" ht="12.75" hidden="false" customHeight="true" outlineLevel="0" collapsed="false">
      <c r="H5" s="8" t="s">
        <v>8</v>
      </c>
    </row>
    <row r="6" customFormat="false" ht="13.5" hidden="false" customHeight="true" outlineLevel="0" collapsed="false">
      <c r="C6" s="9" t="s">
        <v>9</v>
      </c>
      <c r="D6" s="9" t="s">
        <v>10</v>
      </c>
      <c r="E6" s="9" t="s">
        <v>11</v>
      </c>
      <c r="F6" s="9" t="s">
        <v>12</v>
      </c>
      <c r="H6" s="9" t="s">
        <v>9</v>
      </c>
      <c r="M6" s="33"/>
    </row>
    <row r="7" customFormat="false" ht="15.75" hidden="false" customHeight="true" outlineLevel="0" collapsed="false">
      <c r="B7" s="11" t="s">
        <v>112</v>
      </c>
      <c r="C7" s="12" t="n">
        <f aca="false">D7+E7+F7</f>
        <v>0.327272727272727</v>
      </c>
      <c r="D7" s="8" t="n">
        <f aca="false">3600/11000</f>
        <v>0.327272727272727</v>
      </c>
      <c r="E7" s="8" t="n">
        <v>0</v>
      </c>
      <c r="F7" s="8" t="n">
        <v>0</v>
      </c>
      <c r="H7" s="8" t="n">
        <f aca="false">C7</f>
        <v>0.327272727272727</v>
      </c>
    </row>
    <row r="8" customFormat="false" ht="15.75" hidden="false" customHeight="true" outlineLevel="0" collapsed="false">
      <c r="B8" s="41" t="s">
        <v>113</v>
      </c>
      <c r="C8" s="12" t="n">
        <f aca="false">D8+E8+F8</f>
        <v>0.3</v>
      </c>
      <c r="D8" s="8" t="n">
        <f aca="false">3600/12000</f>
        <v>0.3</v>
      </c>
      <c r="E8" s="8" t="n">
        <v>0</v>
      </c>
      <c r="F8" s="8" t="n">
        <v>0</v>
      </c>
      <c r="H8" s="8" t="n">
        <f aca="false">C8</f>
        <v>0.3</v>
      </c>
      <c r="M8" s="5"/>
    </row>
    <row r="9" customFormat="false" ht="15.75" hidden="false" customHeight="true" outlineLevel="0" collapsed="false">
      <c r="B9" s="41" t="s">
        <v>114</v>
      </c>
      <c r="C9" s="12" t="n">
        <f aca="false">D9+E9+F9</f>
        <v>0.327272727272727</v>
      </c>
      <c r="D9" s="8" t="n">
        <f aca="false">3600/11000</f>
        <v>0.327272727272727</v>
      </c>
      <c r="E9" s="8" t="n">
        <v>0</v>
      </c>
      <c r="F9" s="8" t="n">
        <v>0</v>
      </c>
      <c r="H9" s="8" t="n">
        <f aca="false">C9</f>
        <v>0.327272727272727</v>
      </c>
    </row>
    <row r="10" customFormat="false" ht="15" hidden="false" customHeight="true" outlineLevel="0" collapsed="false">
      <c r="B10" s="34" t="s">
        <v>98</v>
      </c>
      <c r="C10" s="12" t="n">
        <f aca="false">D10+E10+F10</f>
        <v>0.25</v>
      </c>
      <c r="D10" s="8" t="n">
        <f aca="false">0.25</f>
        <v>0.25</v>
      </c>
      <c r="E10" s="8" t="n">
        <v>0</v>
      </c>
      <c r="F10" s="8" t="n">
        <v>0</v>
      </c>
      <c r="H10" s="8" t="n">
        <f aca="false">C10</f>
        <v>0.25</v>
      </c>
    </row>
    <row r="11" customFormat="false" ht="15" hidden="false" customHeight="true" outlineLevel="0" collapsed="false">
      <c r="B11" s="35" t="s">
        <v>99</v>
      </c>
      <c r="C11" s="12" t="n">
        <f aca="false">D11+E11+F11</f>
        <v>0.225</v>
      </c>
      <c r="D11" s="8" t="n">
        <f aca="false">3600/16000</f>
        <v>0.225</v>
      </c>
      <c r="E11" s="8" t="n">
        <v>0</v>
      </c>
      <c r="F11" s="8" t="n">
        <v>0</v>
      </c>
      <c r="H11" s="8" t="n">
        <f aca="false">C11</f>
        <v>0.225</v>
      </c>
    </row>
    <row r="12" customFormat="false" ht="15" hidden="false" customHeight="true" outlineLevel="0" collapsed="false">
      <c r="B12" s="35" t="s">
        <v>100</v>
      </c>
      <c r="C12" s="12" t="n">
        <f aca="false">D12+E12+F12</f>
        <v>0.18</v>
      </c>
      <c r="D12" s="8" t="n">
        <f aca="false">3600/20000</f>
        <v>0.18</v>
      </c>
      <c r="E12" s="8" t="n">
        <v>0</v>
      </c>
      <c r="F12" s="8" t="n">
        <v>0</v>
      </c>
      <c r="H12" s="8" t="n">
        <f aca="false">C12</f>
        <v>0.18</v>
      </c>
    </row>
    <row r="13" customFormat="false" ht="15" hidden="false" customHeight="true" outlineLevel="0" collapsed="false">
      <c r="B13" s="35" t="s">
        <v>21</v>
      </c>
      <c r="C13" s="12" t="n">
        <f aca="false">D13+E13+F13</f>
        <v>0.12</v>
      </c>
      <c r="D13" s="8" t="n">
        <v>0.12</v>
      </c>
      <c r="E13" s="8" t="n">
        <v>0</v>
      </c>
      <c r="F13" s="8" t="n">
        <v>0</v>
      </c>
      <c r="H13" s="8" t="n">
        <f aca="false">C13</f>
        <v>0.12</v>
      </c>
    </row>
    <row r="14" customFormat="false" ht="15" hidden="false" customHeight="true" outlineLevel="0" collapsed="false">
      <c r="B14" s="35" t="s">
        <v>23</v>
      </c>
      <c r="C14" s="12" t="n">
        <f aca="false">D14+E14+F14</f>
        <v>0.441666666666667</v>
      </c>
      <c r="D14" s="8" t="n">
        <f aca="false">5.3/12</f>
        <v>0.441666666666667</v>
      </c>
      <c r="E14" s="8" t="n">
        <v>0</v>
      </c>
      <c r="F14" s="8" t="n">
        <v>0</v>
      </c>
      <c r="G14" s="5" t="s">
        <v>101</v>
      </c>
      <c r="H14" s="8" t="n">
        <f aca="false">3/12</f>
        <v>0.25</v>
      </c>
    </row>
    <row r="15" customFormat="false" ht="15" hidden="false" customHeight="true" outlineLevel="0" collapsed="false">
      <c r="B15" s="35" t="s">
        <v>25</v>
      </c>
      <c r="C15" s="12" t="n">
        <f aca="false">D15+E15+F15</f>
        <v>0.416666666666667</v>
      </c>
      <c r="D15" s="9" t="n">
        <f aca="false">5/12</f>
        <v>0.416666666666667</v>
      </c>
      <c r="E15" s="8" t="n">
        <v>0</v>
      </c>
      <c r="F15" s="8" t="n">
        <v>0</v>
      </c>
      <c r="G15" s="5" t="s">
        <v>102</v>
      </c>
      <c r="H15" s="8" t="n">
        <f aca="false">3/12</f>
        <v>0.25</v>
      </c>
      <c r="J15" s="5"/>
    </row>
    <row r="16" customFormat="false" ht="15" hidden="false" customHeight="true" outlineLevel="0" collapsed="false">
      <c r="B16" s="35" t="s">
        <v>103</v>
      </c>
      <c r="C16" s="12" t="n">
        <f aca="false">D16+E16+F16</f>
        <v>0.416666666666667</v>
      </c>
      <c r="D16" s="9" t="n">
        <f aca="false">(5)/12</f>
        <v>0.416666666666667</v>
      </c>
      <c r="E16" s="8" t="n">
        <v>0</v>
      </c>
      <c r="F16" s="8" t="n">
        <v>0</v>
      </c>
      <c r="G16" s="5" t="s">
        <v>104</v>
      </c>
      <c r="H16" s="8" t="n">
        <f aca="false">2/12</f>
        <v>0.166666666666667</v>
      </c>
      <c r="J16" s="5"/>
    </row>
    <row r="17" customFormat="false" ht="15" hidden="false" customHeight="true" outlineLevel="0" collapsed="false">
      <c r="B17" s="36" t="s">
        <v>33</v>
      </c>
      <c r="C17" s="16" t="n">
        <f aca="false">MAX(C7:C16)</f>
        <v>0.441666666666667</v>
      </c>
      <c r="H17" s="16" t="n">
        <f aca="false">MAX(H7:H16)</f>
        <v>0.327272727272727</v>
      </c>
    </row>
    <row r="19" customFormat="false" ht="15" hidden="false" customHeight="true" outlineLevel="0" collapsed="false">
      <c r="B19" s="17" t="s">
        <v>34</v>
      </c>
      <c r="C19" s="17" t="s">
        <v>35</v>
      </c>
      <c r="D19" s="18" t="n">
        <f aca="false">60*60*8*2</f>
        <v>57600</v>
      </c>
      <c r="E19" s="17" t="s">
        <v>36</v>
      </c>
      <c r="G19" s="18" t="n">
        <v>28800</v>
      </c>
    </row>
    <row r="20" customFormat="false" ht="14.25" hidden="false" customHeight="true" outlineLevel="0" collapsed="false">
      <c r="B20" s="17" t="s">
        <v>37</v>
      </c>
      <c r="C20" s="17" t="s">
        <v>38</v>
      </c>
      <c r="D20" s="19" t="n">
        <v>3600</v>
      </c>
      <c r="E20" s="17" t="s">
        <v>36</v>
      </c>
      <c r="G20" s="19" t="n">
        <v>0</v>
      </c>
    </row>
    <row r="21" customFormat="false" ht="15" hidden="false" customHeight="true" outlineLevel="0" collapsed="false">
      <c r="B21" s="17" t="s">
        <v>39</v>
      </c>
      <c r="C21" s="17" t="s">
        <v>40</v>
      </c>
      <c r="D21" s="18" t="n">
        <f aca="false">D19-D20</f>
        <v>54000</v>
      </c>
      <c r="E21" s="17" t="s">
        <v>36</v>
      </c>
      <c r="G21" s="18" t="n">
        <f aca="false">G19-G20</f>
        <v>28800</v>
      </c>
    </row>
    <row r="22" customFormat="false" ht="15" hidden="false" customHeight="true" outlineLevel="0" collapsed="false">
      <c r="B22" s="17" t="s">
        <v>41</v>
      </c>
      <c r="C22" s="17" t="s">
        <v>42</v>
      </c>
      <c r="D22" s="37" t="n">
        <f aca="false">((100-D27)/100)*D19</f>
        <v>1858.06451612903</v>
      </c>
      <c r="E22" s="17" t="s">
        <v>36</v>
      </c>
      <c r="G22" s="8" t="n">
        <f aca="false">G21-G23</f>
        <v>191</v>
      </c>
    </row>
    <row r="23" customFormat="false" ht="15" hidden="false" customHeight="true" outlineLevel="0" collapsed="false">
      <c r="B23" s="17" t="s">
        <v>43</v>
      </c>
      <c r="C23" s="17" t="s">
        <v>44</v>
      </c>
      <c r="D23" s="37" t="n">
        <f aca="false">D21-D22</f>
        <v>52141.935483871</v>
      </c>
      <c r="E23" s="17" t="s">
        <v>36</v>
      </c>
      <c r="G23" s="8" t="n">
        <v>28609</v>
      </c>
    </row>
    <row r="24" customFormat="false" ht="15" hidden="false" customHeight="true" outlineLevel="0" collapsed="false">
      <c r="B24" s="17" t="s">
        <v>45</v>
      </c>
      <c r="C24" s="17" t="s">
        <v>46</v>
      </c>
      <c r="D24" s="37" t="n">
        <f aca="false">D23/D21*100</f>
        <v>96.5591397849462</v>
      </c>
      <c r="E24" s="17" t="s">
        <v>47</v>
      </c>
      <c r="G24" s="18" t="n">
        <f aca="false">G23/G21*100</f>
        <v>99.3368055555556</v>
      </c>
    </row>
    <row r="25" customFormat="false" ht="15" hidden="false" customHeight="true" outlineLevel="0" collapsed="false">
      <c r="B25" s="17" t="s">
        <v>48</v>
      </c>
      <c r="C25" s="17" t="s">
        <v>49</v>
      </c>
      <c r="D25" s="18" t="n">
        <v>432000</v>
      </c>
      <c r="E25" s="17" t="s">
        <v>36</v>
      </c>
    </row>
    <row r="26" customFormat="false" ht="15" hidden="false" customHeight="true" outlineLevel="0" collapsed="false">
      <c r="B26" s="17" t="s">
        <v>50</v>
      </c>
      <c r="C26" s="17" t="s">
        <v>51</v>
      </c>
      <c r="D26" s="18" t="n">
        <f aca="false">3600*4</f>
        <v>14400</v>
      </c>
      <c r="E26" s="17" t="s">
        <v>36</v>
      </c>
    </row>
    <row r="27" customFormat="false" ht="15" hidden="false" customHeight="true" outlineLevel="0" collapsed="false">
      <c r="B27" s="17" t="s">
        <v>52</v>
      </c>
      <c r="C27" s="6" t="s">
        <v>46</v>
      </c>
      <c r="D27" s="38" t="n">
        <f aca="false">100*D25/(D25+D26)</f>
        <v>96.7741935483871</v>
      </c>
      <c r="E27" s="17" t="s">
        <v>47</v>
      </c>
      <c r="F27" s="21" t="s">
        <v>53</v>
      </c>
      <c r="G27" s="22" t="n">
        <v>99.34</v>
      </c>
      <c r="H27" s="22" t="s">
        <v>47</v>
      </c>
    </row>
    <row r="31" customFormat="false" ht="12.75" hidden="false" customHeight="true" outlineLevel="0" collapsed="false">
      <c r="D31" s="5" t="s">
        <v>54</v>
      </c>
      <c r="E31" s="5" t="s">
        <v>55</v>
      </c>
    </row>
    <row r="32" customFormat="false" ht="12.75" hidden="false" customHeight="true" outlineLevel="0" collapsed="false">
      <c r="B32" s="9" t="s">
        <v>56</v>
      </c>
      <c r="C32" s="9" t="s">
        <v>57</v>
      </c>
      <c r="D32" s="8" t="n">
        <f aca="false">H55*7</f>
        <v>904260</v>
      </c>
      <c r="E32" s="8" t="n">
        <f aca="false">G55*7</f>
        <v>1141980</v>
      </c>
    </row>
    <row r="33" customFormat="false" ht="14.25" hidden="false" customHeight="true" outlineLevel="0" collapsed="false">
      <c r="B33" s="23" t="s">
        <v>58</v>
      </c>
      <c r="C33" s="23" t="s">
        <v>59</v>
      </c>
      <c r="D33" s="8" t="n">
        <v>60</v>
      </c>
      <c r="E33" s="8" t="n">
        <v>60</v>
      </c>
    </row>
    <row r="34" customFormat="false" ht="14.25" hidden="false" customHeight="true" outlineLevel="0" collapsed="false">
      <c r="B34" s="23" t="s">
        <v>60</v>
      </c>
      <c r="C34" s="23" t="s">
        <v>61</v>
      </c>
      <c r="D34" s="8" t="n">
        <f aca="false">C17/60</f>
        <v>0.00736111111111111</v>
      </c>
      <c r="E34" s="8" t="n">
        <f aca="false">H17/60</f>
        <v>0.00545454545454545</v>
      </c>
    </row>
    <row r="35" customFormat="false" ht="14.25" hidden="false" customHeight="true" outlineLevel="0" collapsed="false">
      <c r="B35" s="23" t="s">
        <v>62</v>
      </c>
      <c r="C35" s="23" t="s">
        <v>63</v>
      </c>
      <c r="D35" s="8" t="n">
        <f aca="false">D33+D32*D34</f>
        <v>6716.35833333333</v>
      </c>
      <c r="E35" s="8" t="n">
        <f aca="false">E33+E32*E34</f>
        <v>6288.98181818182</v>
      </c>
      <c r="L35" s="1" t="s">
        <v>64</v>
      </c>
    </row>
    <row r="36" customFormat="false" ht="12.75" hidden="false" customHeight="true" outlineLevel="0" collapsed="false">
      <c r="B36" s="9" t="s">
        <v>65</v>
      </c>
      <c r="C36" s="9" t="s">
        <v>66</v>
      </c>
      <c r="D36" s="8" t="n">
        <f aca="false">D35/D32</f>
        <v>0.00742746370881531</v>
      </c>
      <c r="E36" s="8" t="n">
        <f aca="false">E35/E32</f>
        <v>0.00550708577924466</v>
      </c>
    </row>
    <row r="37" customFormat="false" ht="14.25" hidden="false" customHeight="true" outlineLevel="0" collapsed="false">
      <c r="B37" s="23" t="s">
        <v>67</v>
      </c>
      <c r="C37" s="23" t="s">
        <v>68</v>
      </c>
      <c r="D37" s="9" t="n">
        <f aca="false">60/D36</f>
        <v>8078.12765598421</v>
      </c>
      <c r="E37" s="9" t="n">
        <f aca="false">60/E36</f>
        <v>10895.0545542854</v>
      </c>
    </row>
    <row r="39" customFormat="false" ht="12.75" hidden="false" customHeight="true" outlineLevel="0" collapsed="false">
      <c r="D39" s="5" t="s">
        <v>54</v>
      </c>
      <c r="E39" s="5" t="s">
        <v>55</v>
      </c>
    </row>
    <row r="40" customFormat="false" ht="14.25" hidden="false" customHeight="true" outlineLevel="0" collapsed="false">
      <c r="B40" s="2" t="s">
        <v>69</v>
      </c>
      <c r="C40" s="2" t="s">
        <v>70</v>
      </c>
      <c r="D40" s="3" t="n">
        <v>1</v>
      </c>
      <c r="E40" s="3" t="n">
        <v>1</v>
      </c>
      <c r="F40" s="2" t="s">
        <v>71</v>
      </c>
    </row>
    <row r="41" customFormat="false" ht="15" hidden="false" customHeight="true" outlineLevel="0" collapsed="false">
      <c r="B41" s="2" t="s">
        <v>72</v>
      </c>
      <c r="C41" s="2" t="s">
        <v>73</v>
      </c>
      <c r="D41" s="24" t="n">
        <f aca="false">7*2</f>
        <v>14</v>
      </c>
      <c r="E41" s="42" t="n">
        <f aca="false">7*2</f>
        <v>14</v>
      </c>
      <c r="F41" s="2" t="s">
        <v>74</v>
      </c>
    </row>
    <row r="42" customFormat="false" ht="14.25" hidden="false" customHeight="true" outlineLevel="0" collapsed="false">
      <c r="B42" s="2" t="s">
        <v>75</v>
      </c>
      <c r="C42" s="2" t="s">
        <v>76</v>
      </c>
      <c r="D42" s="3" t="n">
        <v>8</v>
      </c>
      <c r="E42" s="3" t="n">
        <v>8</v>
      </c>
      <c r="F42" s="2" t="s">
        <v>77</v>
      </c>
    </row>
    <row r="43" customFormat="false" ht="15" hidden="false" customHeight="true" outlineLevel="0" collapsed="false">
      <c r="B43" s="2" t="s">
        <v>78</v>
      </c>
      <c r="C43" s="2" t="s">
        <v>79</v>
      </c>
      <c r="D43" s="25" t="n">
        <f aca="false">D40*D41*D42*D37</f>
        <v>904750.297470231</v>
      </c>
      <c r="E43" s="25" t="n">
        <f aca="false">E40*E41*E42*E37</f>
        <v>1220246.11007997</v>
      </c>
      <c r="F43" s="26" t="s">
        <v>105</v>
      </c>
      <c r="H43" s="5" t="s">
        <v>115</v>
      </c>
      <c r="K43" s="5" t="s">
        <v>116</v>
      </c>
    </row>
    <row r="44" customFormat="false" ht="12.75" hidden="false" customHeight="true" outlineLevel="0" collapsed="false">
      <c r="H44" s="5" t="s">
        <v>117</v>
      </c>
      <c r="I44" s="1" t="n">
        <f aca="false">5023*12</f>
        <v>60276</v>
      </c>
      <c r="K44" s="1" t="n">
        <f aca="false">6343*12</f>
        <v>76116</v>
      </c>
    </row>
    <row r="45" customFormat="false" ht="12.75" hidden="false" customHeight="true" outlineLevel="0" collapsed="false">
      <c r="D45" s="5" t="s">
        <v>54</v>
      </c>
      <c r="E45" s="5" t="s">
        <v>55</v>
      </c>
      <c r="H45" s="5" t="s">
        <v>118</v>
      </c>
      <c r="I45" s="1" t="n">
        <f aca="false">5742*12</f>
        <v>68904</v>
      </c>
      <c r="K45" s="1" t="n">
        <f aca="false">7252*12</f>
        <v>87024</v>
      </c>
    </row>
    <row r="46" customFormat="false" ht="14.25" hidden="false" customHeight="true" outlineLevel="0" collapsed="false">
      <c r="B46" s="26" t="s">
        <v>81</v>
      </c>
      <c r="C46" s="26" t="s">
        <v>82</v>
      </c>
      <c r="D46" s="43" t="n">
        <f aca="false">D32/D43</f>
        <v>0.99945808531746</v>
      </c>
      <c r="E46" s="39" t="n">
        <f aca="false">E32/E43</f>
        <v>0.935860389610389</v>
      </c>
      <c r="F46" s="26" t="s">
        <v>80</v>
      </c>
      <c r="H46" s="5" t="s">
        <v>119</v>
      </c>
      <c r="I46" s="1" t="n">
        <f aca="false">SUM(I44:I45)</f>
        <v>129180</v>
      </c>
      <c r="K46" s="1" t="n">
        <f aca="false">SUM(K44:K45)</f>
        <v>163140</v>
      </c>
    </row>
    <row r="54" customFormat="false" ht="12.75" hidden="false" customHeight="true" outlineLevel="0" collapsed="false">
      <c r="D54" s="5" t="s">
        <v>83</v>
      </c>
      <c r="E54" s="5" t="s">
        <v>55</v>
      </c>
      <c r="G54" s="9" t="s">
        <v>120</v>
      </c>
      <c r="H54" s="9" t="s">
        <v>121</v>
      </c>
    </row>
    <row r="55" customFormat="false" ht="12.75" hidden="false" customHeight="true" outlineLevel="0" collapsed="false">
      <c r="B55" s="8"/>
      <c r="C55" s="9" t="s">
        <v>86</v>
      </c>
      <c r="D55" s="8" t="n">
        <f aca="false">(H55*C17)/(G23*2)</f>
        <v>0.997142507602503</v>
      </c>
      <c r="E55" s="27" t="n">
        <f aca="false">(G55*H17)/(G23*2)</f>
        <v>0.933120219638448</v>
      </c>
      <c r="G55" s="8" t="n">
        <f aca="false">K46</f>
        <v>163140</v>
      </c>
      <c r="H55" s="8" t="n">
        <f aca="false">I46</f>
        <v>129180</v>
      </c>
    </row>
    <row r="56" customFormat="false" ht="12.75" hidden="false" customHeight="true" outlineLevel="0" collapsed="false">
      <c r="B56" s="8"/>
      <c r="C56" s="9" t="s">
        <v>88</v>
      </c>
      <c r="D56" s="8" t="n">
        <f aca="false">D4/C17</f>
        <v>0.69821304112677</v>
      </c>
      <c r="E56" s="8" t="n">
        <f aca="false">MIN(1,D4/H17)</f>
        <v>0.94226435874284</v>
      </c>
    </row>
    <row r="57" customFormat="false" ht="12.75" hidden="false" customHeight="true" outlineLevel="0" collapsed="false">
      <c r="B57" s="8"/>
      <c r="C57" s="9" t="s">
        <v>89</v>
      </c>
      <c r="D57" s="8" t="n">
        <f aca="false">D55*D56</f>
        <v>0.696217902669916</v>
      </c>
      <c r="E57" s="8" t="n">
        <f aca="false">E55*E56</f>
        <v>0.8792459253876</v>
      </c>
    </row>
    <row r="58" customFormat="false" ht="12.75" hidden="false" customHeight="true" outlineLevel="0" collapsed="false">
      <c r="B58" s="9" t="s">
        <v>108</v>
      </c>
      <c r="C58" s="9" t="s">
        <v>46</v>
      </c>
      <c r="D58" s="40" t="n">
        <f aca="false">D27</f>
        <v>96.7741935483871</v>
      </c>
      <c r="E58" s="40" t="n">
        <f aca="false">D27</f>
        <v>96.7741935483871</v>
      </c>
    </row>
    <row r="59" customFormat="false" ht="12.75" hidden="false" customHeight="true" outlineLevel="0" collapsed="false">
      <c r="B59" s="9" t="s">
        <v>90</v>
      </c>
      <c r="C59" s="9" t="s">
        <v>57</v>
      </c>
      <c r="D59" s="39" t="n">
        <v>0.99</v>
      </c>
      <c r="E59" s="39" t="n">
        <v>0.99</v>
      </c>
    </row>
    <row r="60" customFormat="false" ht="12.75" hidden="false" customHeight="true" outlineLevel="0" collapsed="false">
      <c r="B60" s="29" t="s">
        <v>91</v>
      </c>
      <c r="C60" s="30" t="s">
        <v>91</v>
      </c>
      <c r="D60" s="31" t="n">
        <f aca="false">D59*D27*D57</f>
        <v>66.7021668041823</v>
      </c>
      <c r="E60" s="31" t="n">
        <f aca="false">E57*E59*D27</f>
        <v>84.2374322064894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2026-03-21T00:06:34Z</dcterms:created>
  <dc:creator>openpyxl</dc:creator>
  <dc:description/>
  <dc:language>en-US</dc:language>
  <cp:lastModifiedBy>Jorge Melo</cp:lastModifiedBy>
  <dcterms:modified xsi:type="dcterms:W3CDTF">2026-07-12T01:41:26Z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