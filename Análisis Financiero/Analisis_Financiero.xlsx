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Supuestos" sheetId="2" r:id="rId5"/>
    <sheet state="visible" name="CAPEX" sheetId="3" r:id="rId6"/>
    <sheet state="visible" name="OPEX_Beneficios" sheetId="4" r:id="rId7"/>
    <sheet state="visible" name="Flujo_de_Caja" sheetId="5" r:id="rId8"/>
    <sheet state="visible" name="Indicadores" sheetId="6" r:id="rId9"/>
  </sheets>
  <definedNames/>
  <calcPr/>
  <extLst>
    <ext uri="GoogleSheetsCustomDataVersion2">
      <go:sheetsCustomData xmlns:go="http://customooxmlschemas.google.com/" r:id="rId10" roundtripDataChecksum="YkJrUFJ5mj6sF1af3U/DmviSfuQ0SgZem9RGSB8rzOc="/>
    </ext>
  </extLst>
</workbook>
</file>

<file path=xl/sharedStrings.xml><?xml version="1.0" encoding="utf-8"?>
<sst xmlns="http://schemas.openxmlformats.org/spreadsheetml/2006/main" count="478" uniqueCount="376">
  <si>
    <t>ANÁLISIS TÉCNICO-ECONÓMICO</t>
  </si>
  <si>
    <t>CELDA ROBÓTICA DE PALETIZADO</t>
  </si>
  <si>
    <t>Línea de Producción de Bebidas — Coca-Cola &amp; Monster Energy</t>
  </si>
  <si>
    <t>Proyecto:</t>
  </si>
  <si>
    <t>Automatización — Celda Robótica de Paletizado</t>
  </si>
  <si>
    <t>Productos:</t>
  </si>
  <si>
    <t>Coca-Cola Retornable 1.5 L  |  Coca-Cola Plástica 2.5 L  |  Monster Energy 500 mL</t>
  </si>
  <si>
    <t>Líneas:</t>
  </si>
  <si>
    <t>Línea 1: Coca-Cola (Retornable + Plástica) — Línea 2: Monster (3 turnos)</t>
  </si>
  <si>
    <t>Capacidad/día:</t>
  </si>
  <si>
    <t>Retornable: 19 800 un/día (1 turno) | Plástica: 115 184 un/día (2 turnos) | Monster: 129 550 un/día (3 turnos)</t>
  </si>
  <si>
    <t>Entidad:</t>
  </si>
  <si>
    <t>Automatización de Procesos de Manufactura 2026-1S</t>
  </si>
  <si>
    <t>Fecha:</t>
  </si>
  <si>
    <t>Marzo 2026</t>
  </si>
  <si>
    <t>Moneda:</t>
  </si>
  <si>
    <t>Pesos Colombianos (COP)  |  TRM referencia: $ 3723,05 COP/USD</t>
  </si>
  <si>
    <t>Horizonte:</t>
  </si>
  <si>
    <t>10 años</t>
  </si>
  <si>
    <t>RESUMEN DE INDICADORES FINANCIEROS CLAVE</t>
  </si>
  <si>
    <t>CAPEX Total</t>
  </si>
  <si>
    <t>OPEX Anual</t>
  </si>
  <si>
    <t>Beneficios Brutos</t>
  </si>
  <si>
    <t>Flujo Neto Anual</t>
  </si>
  <si>
    <t>VPN (10 años)</t>
  </si>
  <si>
    <t>TIR</t>
  </si>
  <si>
    <t>Payback</t>
  </si>
  <si>
    <t>SUPUESTOS Y PARÁMETROS DEL MODELO</t>
  </si>
  <si>
    <t>PRODUCCIÓN DIARIA (Base Simulación)</t>
  </si>
  <si>
    <t>Parámetro</t>
  </si>
  <si>
    <t>Valor</t>
  </si>
  <si>
    <t>Unidad</t>
  </si>
  <si>
    <t>Nota / Fuente</t>
  </si>
  <si>
    <t>Coca-Cola Retornable 1.5 L</t>
  </si>
  <si>
    <t>un/día</t>
  </si>
  <si>
    <t>1 turno/día</t>
  </si>
  <si>
    <t>Coca-Cola Plástica 2.5 L</t>
  </si>
  <si>
    <t>2 turnos/día</t>
  </si>
  <si>
    <t>Monster Energy 500 mL</t>
  </si>
  <si>
    <t>3 turnos/día</t>
  </si>
  <si>
    <t>Días laborables / año</t>
  </si>
  <si>
    <t>días</t>
  </si>
  <si>
    <t>Operación continua</t>
  </si>
  <si>
    <t>PARÁMETROS ECONÓMICOS</t>
  </si>
  <si>
    <t>TRM referencia</t>
  </si>
  <si>
    <t>COP/USD</t>
  </si>
  <si>
    <t xml:space="preserve"> 24/03/2026</t>
  </si>
  <si>
    <t>Tasa de descuento (WACC)</t>
  </si>
  <si>
    <t>Incluye prima de riesgo Colombia</t>
  </si>
  <si>
    <t>Inflación anual esperada</t>
  </si>
  <si>
    <t>Meta BanRep promedio</t>
  </si>
  <si>
    <t>Crecimiento demanda bebidas/año</t>
  </si>
  <si>
    <t>Proyección sector bebidas Colombia</t>
  </si>
  <si>
    <t>PARÁMETROS DE MANO DE OBRA</t>
  </si>
  <si>
    <t>Salario mensual operador base</t>
  </si>
  <si>
    <t>COP/mes</t>
  </si>
  <si>
    <t>SMV 2026 — Decreto 2671 de 2025</t>
  </si>
  <si>
    <t>Factor prestaciones sociales</t>
  </si>
  <si>
    <t>Vacaciones, cesantías, EPS, ARL, etc.</t>
  </si>
  <si>
    <t>Salario + prestaciones operador</t>
  </si>
  <si>
    <t>Costo real por trabajador</t>
  </si>
  <si>
    <t>Operadores paletizado (antes)</t>
  </si>
  <si>
    <t>operadores</t>
  </si>
  <si>
    <t>2 por celda × 2 líneas × ~2.5 turnos</t>
  </si>
  <si>
    <t>Operadores remanentes (después)</t>
  </si>
  <si>
    <t>Supervisores / apoyo</t>
  </si>
  <si>
    <t>Operadores suprimidos</t>
  </si>
  <si>
    <t>PARÁMETROS DE ENERGÍA</t>
  </si>
  <si>
    <t>Potencia robot Línea 1 (Coca-Cola)</t>
  </si>
  <si>
    <t>kW</t>
  </si>
  <si>
    <t xml:space="preserve">ABB IRB 660 — dato técnico </t>
  </si>
  <si>
    <t>Potencia robot Línea 2 (Monster)</t>
  </si>
  <si>
    <t>ABB IRB 660 — dato técnico</t>
  </si>
  <si>
    <t>Potencia conveyors y auxiliares</t>
  </si>
  <si>
    <t>Transportadores + actuadores</t>
  </si>
  <si>
    <t>Horas operación promedio / día</t>
  </si>
  <si>
    <t>h</t>
  </si>
  <si>
    <t>Promedio ponderado 3 líneas</t>
  </si>
  <si>
    <t>Tarifa energía eléctrica industrial</t>
  </si>
  <si>
    <t>COP/kWh</t>
  </si>
  <si>
    <t>Tarifa industrial media Colombia 2026</t>
  </si>
  <si>
    <t>PARÁMETROS DE PALETIZADO</t>
  </si>
  <si>
    <t>Unidades / paca Coca-Cola Ret.</t>
  </si>
  <si>
    <t>un/caja</t>
  </si>
  <si>
    <t xml:space="preserve"> paca retornable estándar</t>
  </si>
  <si>
    <t>Unidades / paca Coca-Cola Plás.</t>
  </si>
  <si>
    <t>paca 6×2.5 L</t>
  </si>
  <si>
    <t>Unidades / caja Monster</t>
  </si>
  <si>
    <t>Caja estándar latas</t>
  </si>
  <si>
    <t>Capas / pallet Coca-Cola</t>
  </si>
  <si>
    <t>capas</t>
  </si>
  <si>
    <t>Capas / pallet Monster</t>
  </si>
  <si>
    <t>Pacas / capa Coca-Cola</t>
  </si>
  <si>
    <t>cajas</t>
  </si>
  <si>
    <t>Pacas / capa Monster</t>
  </si>
  <si>
    <t>CAPEX — INVERSIÓN INICIAL  |  CELDA ROBÓTICA DE PALETIZADO</t>
  </si>
  <si>
    <t>Ítem</t>
  </si>
  <si>
    <t>Concepto</t>
  </si>
  <si>
    <t>Cant.</t>
  </si>
  <si>
    <t>Unid.</t>
  </si>
  <si>
    <t>P. Unit. Base (COP)</t>
  </si>
  <si>
    <t>Arancel + Ship. (COP)</t>
  </si>
  <si>
    <t>Total (COP)</t>
  </si>
  <si>
    <t>Ref. USD (unit.)</t>
  </si>
  <si>
    <t>Enlace / Fuente</t>
  </si>
  <si>
    <t>1.  ROBOTS INDUSTRIALES Y CONTROLADORES</t>
  </si>
  <si>
    <t>1.1</t>
  </si>
  <si>
    <t>Robot ABB IRB 660-3.15/250
Robot paletizador 4 ejes, alcance 3,15 m, carga máx. 250 kg.
Mismo modelo para Línea 1 (Coca-Cola) y Línea 2 (Monster).
Unifica repuestos, capacitación y mantenimiento.</t>
  </si>
  <si>
    <t>und</t>
  </si>
  <si>
    <t>~62 000 USD</t>
  </si>
  <si>
    <t>https://new.abb.com/products/robotics/robots/palletizing-robots/irb-660</t>
  </si>
  <si>
    <t>1.2</t>
  </si>
  <si>
    <t>Controlador IRC5 — ABB
Incluye FlexPendant táctil, módulo de movimiento y armario estándar.
1 controlador por robot → 2 unidades en total.</t>
  </si>
  <si>
    <t>~12 500 USD</t>
  </si>
  <si>
    <t>https://new.abb.com/products/robotics/controllers/irc5</t>
  </si>
  <si>
    <t>2.  HERRAMIENTAS DE AGARRE (EOAT) Y SISTEMAS NEUMÁTICOS</t>
  </si>
  <si>
    <t xml:space="preserve">  Línea 1 — Coca-Cola (Retornable 1.5 L + Plástica 2.5 L):  Clamp Gripper Mecánico</t>
  </si>
  <si>
    <t>2.1</t>
  </si>
  <si>
    <t>EOAT L1: Clamp gripper mecánico para cajas de vidrio/PET
Accionamiento neumático; robusto para cajas húmedas o irregulares.</t>
  </si>
  <si>
    <t>~9 000 USD</t>
  </si>
  <si>
    <t>https://schunk.com/co_es/productos/sujecion/prensas-paralelas/</t>
  </si>
  <si>
    <t>2.2</t>
  </si>
  <si>
    <t>Unidad FRL (filtro-regulador-lubricador) L1</t>
  </si>
  <si>
    <t>~1 800 USD</t>
  </si>
  <si>
    <t>https://www.festo.com/co/es/</t>
  </si>
  <si>
    <t>2.3</t>
  </si>
  <si>
    <t>Válvulas distribuidoras 5/2 doble solenoide L1
Festo</t>
  </si>
  <si>
    <t>~600 USD c/u</t>
  </si>
  <si>
    <t>2.4</t>
  </si>
  <si>
    <t xml:space="preserve">Tuberías, racores y accesorios neumáticos L1
</t>
  </si>
  <si>
    <t>global</t>
  </si>
  <si>
    <t>~1 200 USD</t>
  </si>
  <si>
    <t>2.5</t>
  </si>
  <si>
    <t>Sensor de presión y caudal neumático L1
Verificación de agarre efectivo antes de traslado.</t>
  </si>
  <si>
    <t>~400 USD c/u</t>
  </si>
  <si>
    <t xml:space="preserve">  Línea 2 — Monster Energy (Latas 500 mL):  Vacuum Plate Gripper (placa de ventosas)</t>
  </si>
  <si>
    <t>2.6</t>
  </si>
  <si>
    <t>EOAT L2: Vacuum plate gripper (placa de ventosas) para cajas de latas
Superficie plana y seca de cajas de Monster → agarre por vacío eficiente.</t>
  </si>
  <si>
    <t>~6 500 USD</t>
  </si>
  <si>
    <t>https://www.schmalz.com/es/soluciones-de-vacio/</t>
  </si>
  <si>
    <t>2.7</t>
  </si>
  <si>
    <t xml:space="preserve">Eyector de vacío Venturi L2
</t>
  </si>
  <si>
    <t>~900 USD c/u</t>
  </si>
  <si>
    <t>https://www.schmalz.com/es/</t>
  </si>
  <si>
    <t>2.8</t>
  </si>
  <si>
    <t xml:space="preserve">Unidad FRL (filtro-regulador-lubricador) L2
</t>
  </si>
  <si>
    <t>2.9</t>
  </si>
  <si>
    <t>Válvulas de control vacío/escape 
Activación/desactivación rápida por zonas de ventosas.</t>
  </si>
  <si>
    <t>~350 USD c/u</t>
  </si>
  <si>
    <t>2.10</t>
  </si>
  <si>
    <t>Sensor de vacío con display L2
Confirmación de agarre efectivo por zona de ventosas.</t>
  </si>
  <si>
    <t>~500 USD c/u</t>
  </si>
  <si>
    <t>2.11</t>
  </si>
  <si>
    <t>Tuberías, racores y accesorios neumáticos L2.</t>
  </si>
  <si>
    <t>~800 USD</t>
  </si>
  <si>
    <t>3.  SISTEMA DE CONTROL ELÉCTRICO E INDUSTRIAL  (por línea × 2)</t>
  </si>
  <si>
    <t>3.1</t>
  </si>
  <si>
    <t>PLC Allen-Bradley ControlLogix 5580 — chasis 8 ranuras (1756-L83E)
Procesador 40 ns/instrucción, 3 MB mem. usuario, EtherNet/IP integrado.</t>
  </si>
  <si>
    <t>~8 000 USD</t>
  </si>
  <si>
    <t>https://www.rockwellautomation.com/es-CO/products/hardware/allen-bradley/logix/controllogix-family.html</t>
  </si>
  <si>
    <t>3.2</t>
  </si>
  <si>
    <t>Fuente de alimentación 24 VDC – 10 A (1756-PA75R)
Alimenta backplane y módulos I/O. 1 por gabinete.</t>
  </si>
  <si>
    <t>~550 USD</t>
  </si>
  <si>
    <t>https://www.rockwellautomation.com/es-CO/products/hardware/allen-bradley/logix/controllogix-power-supplies.html</t>
  </si>
  <si>
    <t>3.3</t>
  </si>
  <si>
    <t>Módulo entradas digitales 16 ch – 24 VDC (1756-IB16D)
Sensores posición, finales de carrera, botones de operador.</t>
  </si>
  <si>
    <t>~420 USD</t>
  </si>
  <si>
    <t>https://www.rockwellautomation.com/es-CO/products/hardware/allen-bradley/logix/controllogix-io-modules.html</t>
  </si>
  <si>
    <t>3.4</t>
  </si>
  <si>
    <t>Módulo salidas digitales 16 ch – 24 VDC (1756-OB16D)
Actuadores, solenoides neumáticos, semáforos de seguridad.</t>
  </si>
  <si>
    <t>3.5</t>
  </si>
  <si>
    <t>Módulo entradas analógicas 8 ch – ±10 V / 4-20 mA (1756-IF8)
Sensores de presión neumática y celdas de carga.</t>
  </si>
  <si>
    <t>~650 USD</t>
  </si>
  <si>
    <t>3.6</t>
  </si>
  <si>
    <t>HMI PanelView Plus 7 – 10" touch color (2711P-T10C22D9P)
Interfaz operador local por celda. Integración FactoryTalk View.</t>
  </si>
  <si>
    <t>~3 500 USD</t>
  </si>
  <si>
    <t>https://www.rockwellautomation.com/es-CO/products/hardware/allen-bradley/panelview-plus-7.html</t>
  </si>
  <si>
    <t>3.7</t>
  </si>
  <si>
    <t>Switch EtherNet/IP industrial 8 puertos (1783-US8T)
Red de comunicaciones PLC ↔ Robot ↔ SCADA.</t>
  </si>
  <si>
    <t>~900 USD</t>
  </si>
  <si>
    <t>https://www.rockwellautomation.com/es-CO/products/hardware/allen-bradley/stratix/stratix-2000.html</t>
  </si>
  <si>
    <t>3.8</t>
  </si>
  <si>
    <t>Breaker principal trifásico 3P – 60 A (Schneider NSX160B)
Protección general gabinete. 1 por celda.</t>
  </si>
  <si>
    <t>~350 USD</t>
  </si>
  <si>
    <t>https://www.se.com/co/es/product-range/603-compact-nsx/</t>
  </si>
  <si>
    <t>3.9</t>
  </si>
  <si>
    <t>Interruptores termomagnéticos 2P – 20 A (ramales internos)
Protección individual robot, HMI, ventilación y circuitos 24 VDC.</t>
  </si>
  <si>
    <t>~60 USD c/u</t>
  </si>
  <si>
    <t>https://www.se.com/co/es/</t>
  </si>
  <si>
    <t>3.10</t>
  </si>
  <si>
    <t>Gabinete eléctrico NEMA 4 / IP54 – 1 200×800×300 mm (RAL 7035)
Chapa 14 AWG, ventilación forzada con filtro, cerradura. 1 por celda.</t>
  </si>
  <si>
    <t>~2 800 USD</t>
  </si>
  <si>
    <t>https://www.rittal.com/co-es/content/es/start/productos/gabinetes.html</t>
  </si>
  <si>
    <t>3.11</t>
  </si>
  <si>
    <t>Canaleta ranurada, riel DIN, borneras y accesorios de montaje
Canaleta 60×40 mm, riel C 35 mm, borneras 2,5 mm², etiquetas.</t>
  </si>
  <si>
    <t>~1 500 USD</t>
  </si>
  <si>
    <t>https://www.wago.com/co/</t>
  </si>
  <si>
    <t>3.12</t>
  </si>
  <si>
    <t>Cableado de fuerza y control — cable, tubería EMT y bandejas
Cable 4×4 mm² fuerza robot, AWG 16 control, conduit EMT ½" y ¾".</t>
  </si>
  <si>
    <t>~4 500 USD</t>
  </si>
  <si>
    <t>Contratista eléctrico especializado</t>
  </si>
  <si>
    <t>4.  SISTEMAS AUXILIARES Y DE SEGURIDAD</t>
  </si>
  <si>
    <t>4.1</t>
  </si>
  <si>
    <t>Sistema de conveyors de entrada/salida — Línea 1 (Coca-Cola)
Conveyor de rodillos accionado, longitud ~10 m, velocidad 0,3 m/s.</t>
  </si>
  <si>
    <t>sistema</t>
  </si>
  <si>
    <t>~10 000 USD</t>
  </si>
  <si>
    <t>https://www.interroll.com/es/</t>
  </si>
  <si>
    <t>4.2</t>
  </si>
  <si>
    <t>Sistema de conveyors de entrada/salida — Línea 2 (Monster)
Conveyor de banda plana, longitud ~10 m. Menor carga unitaria.</t>
  </si>
  <si>
    <t>4.3</t>
  </si>
  <si>
    <t>Mesa de deposición de pallets vacíos (dispensador)
Alimentación semi-automática de pallets. 1 por línea.</t>
  </si>
  <si>
    <t>~3 500 USD c/u</t>
  </si>
  <si>
    <t>Fabricación local / proveedor Colombia</t>
  </si>
  <si>
    <t>4.4</t>
  </si>
  <si>
    <t>Sistema de seguridad perimetral — vallas y cortinas de luz
Cortinas láser Sick C4000 (PL=d), vallado metálico H=2 m.</t>
  </si>
  <si>
    <t>~4 500 USD c/u</t>
  </si>
  <si>
    <t>https://www.sick.com/co/es/</t>
  </si>
  <si>
    <t>4.5</t>
  </si>
  <si>
    <t>Semáforos y señalización luminosa — stack lights
Indicación visual de estado de celda: operación, pausa, falla.</t>
  </si>
  <si>
    <t>~300 USD c/u</t>
  </si>
  <si>
    <t>https://www.patlite.com/</t>
  </si>
  <si>
    <t>4.6</t>
  </si>
  <si>
    <t>Sensores de posición y presencia de cajas (fotoceldas)
Detectan llegada de caja al punto de pick. Keyence PZ2.</t>
  </si>
  <si>
    <t>~280 USD c/u</t>
  </si>
  <si>
    <t>https://www.keyence.com.co/</t>
  </si>
  <si>
    <t>5.  SERVICIOS DE INGENIERÍA, INSTALACIÓN Y PUESTA EN MARCHA</t>
  </si>
  <si>
    <t>5.1</t>
  </si>
  <si>
    <t>Licencias software — Studio 5000 Logix Designer v35
2 licencias profesionales + soporte 1 año.</t>
  </si>
  <si>
    <t>lic.</t>
  </si>
  <si>
    <t>~2 800 USD c/u</t>
  </si>
  <si>
    <t>https://www.rockwellautomation.com/</t>
  </si>
  <si>
    <t>5.2</t>
  </si>
  <si>
    <t>Licencias software — RobotStudio ABB
Programación offline y gemelo digital de los 2 robots.</t>
  </si>
  <si>
    <t>~2 500 USD</t>
  </si>
  <si>
    <t>https://new.abb.com/products/robotics/robotstudio</t>
  </si>
  <si>
    <t>5.3</t>
  </si>
  <si>
    <t>Ingeniería y diseño — P&amp;ID, planos eléctricos, planimetría
80 h × 2 ingenieros especialistas. Ingeniería de detalle.</t>
  </si>
  <si>
    <t>~6 000 USD</t>
  </si>
  <si>
    <t>Oferta ingeniería local Colombia</t>
  </si>
  <si>
    <t>5.4</t>
  </si>
  <si>
    <t>Instalación mecánica y eléctrica
Montaje robots, conveyors, gabinetes y cableado. 3 técnicos × 3 sem.</t>
  </si>
  <si>
    <t>~8 500 USD</t>
  </si>
  <si>
    <t>Contratista especializado Colombia</t>
  </si>
  <si>
    <t>5.5</t>
  </si>
  <si>
    <t>Puesta en marcha y comisionamiento — ABB Field Service
Calibración robot, ajuste ciclos, pruebas FAT/SAT. 5 días c/robot.</t>
  </si>
  <si>
    <t>~5 500 USD</t>
  </si>
  <si>
    <t>ABB Field Service Colombia</t>
  </si>
  <si>
    <t>5.6</t>
  </si>
  <si>
    <t>Capacitación técnicos en sitio 10 días</t>
  </si>
  <si>
    <t>~3 000 USD</t>
  </si>
  <si>
    <t>ABB Training Academy</t>
  </si>
  <si>
    <t>5.7</t>
  </si>
  <si>
    <t>Obra civil y adecuaciones de planta
Losa reforzada bajo robots, acometida 440 V, iluminación zona.</t>
  </si>
  <si>
    <t>~4 800 USD</t>
  </si>
  <si>
    <t>Presupuesto obra civil local</t>
  </si>
  <si>
    <t>6.  IMPREVISTOS Y CONTINGENCIA  (5 %)</t>
  </si>
  <si>
    <t>6.1</t>
  </si>
  <si>
    <t>Imprevistos y contingencia — 5 % sobre subtotal
Cubre variaciones de precio, fletes no previstos y ajustes de campo.</t>
  </si>
  <si>
    <t>CAPEX SUBTOTAL  (sin IVA)</t>
  </si>
  <si>
    <t>IVA  (19 %)</t>
  </si>
  <si>
    <t>CAPEX TOTAL  (con IVA 19 %)  ◀  referencia para flujo de caja</t>
  </si>
  <si>
    <t xml:space="preserve">Nota: Precios USD convertidos con TRM = $3,723.05 COP/USD ( 24/03/2026). Arancel + shipping estimado en 10 % sobre precio base importado (excluye IVA nacional). Los valores finales pueden variar </t>
  </si>
  <si>
    <t>OPEX ANUAL Y BENEFICIOS — CELDA ROBÓTICA DE PALETIZADO</t>
  </si>
  <si>
    <t>COSTOS OPERATIVOS ANUALES (OPEX)</t>
  </si>
  <si>
    <t>Costo Anual (COP)</t>
  </si>
  <si>
    <t>Referencia</t>
  </si>
  <si>
    <t>Nota / Base de Cálculo</t>
  </si>
  <si>
    <t>Mantenimiento preventivo anual (2 robots)</t>
  </si>
  <si>
    <t>Contrato ABB</t>
  </si>
  <si>
    <t>~2,5% sobre precio robots / año según contrato de servicio</t>
  </si>
  <si>
    <t>Consumo energía eléctrica (2 robots + conveyors)</t>
  </si>
  <si>
    <t>Cálculo Supuestos!</t>
  </si>
  <si>
    <t>Calculo: (3.5+3.5+2.5) kW x 20h x 365dias x 600 COP/kWh</t>
  </si>
  <si>
    <t>Licencias software anuales
(Studio 5000, RobotStudio, FactoryTalk View)</t>
  </si>
  <si>
    <t>Rockwell / ABB</t>
  </si>
  <si>
    <t>Renovación anual de licencias de programación y supervisión</t>
  </si>
  <si>
    <t>Repuestos consumibles y lubricantes
(correas, filtros, grasa)</t>
  </si>
  <si>
    <t>Stock mínimo</t>
  </si>
  <si>
    <t>Estimado sobre historial mantenimiento robots similares- celdas</t>
  </si>
  <si>
    <t>Supervisión técnica especializada
(1 técnico robótica a tiempo parcial)</t>
  </si>
  <si>
    <t>Perfil técnico SENA/Univ.</t>
  </si>
  <si>
    <t>~$1,500,000 COP/mes × 12 meses</t>
  </si>
  <si>
    <t>Seguros maquinaria y responsabilidad civil</t>
  </si>
  <si>
    <t>Aseguradora</t>
  </si>
  <si>
    <t>Prima anual estimada 0.8% sobre valor equipos</t>
  </si>
  <si>
    <t>TOTAL OPEX ANUAL (Año 1)</t>
  </si>
  <si>
    <t>BENEFICIOS / AHORROS ANUALES ESTIMADOS</t>
  </si>
  <si>
    <t>Valor Anual (COP)</t>
  </si>
  <si>
    <t>Base de Cálculo</t>
  </si>
  <si>
    <t>Reducción costo mano de obra
(operadores paletizado suprimidos)</t>
  </si>
  <si>
    <t>Calculo: Op. suprimidos x (Salario+Prest.) x 12 meses</t>
  </si>
  <si>
    <t>Reducción tiempos de parada
por lesiones/accidentes en paletizado</t>
  </si>
  <si>
    <t>HSE interno</t>
  </si>
  <si>
    <t>Promedio 2 paradas/mes × 30 min × costo oportunidad</t>
  </si>
  <si>
    <t>Reducción pérdidas de producto
por manejo manual deficiente</t>
  </si>
  <si>
    <t>Control Calidad</t>
  </si>
  <si>
    <t>Reducción tasa daño 0.08% sobre producción anual</t>
  </si>
  <si>
    <t>Reducción horas extra
(paletizado manual lento → cuellos de botella)</t>
  </si>
  <si>
    <t>RRHH</t>
  </si>
  <si>
    <t>Estimado reducción 2 h extra/semana × 52 semanas</t>
  </si>
  <si>
    <t>Mejora en disponibilidad OEE
(automatización elimina variabilidad humana)</t>
  </si>
  <si>
    <t>Indicadores OEE</t>
  </si>
  <si>
    <t>Aumento estimado 1-2% OEE sobre línea</t>
  </si>
  <si>
    <t>Reducción ausentismo y gastos ARL
(eliminación tarea ergonómicamente riesgosa)</t>
  </si>
  <si>
    <t>ARL Sura / Positiva</t>
  </si>
  <si>
    <t>Reducción incidentes músculo-esqueléticos paletizado</t>
  </si>
  <si>
    <t>TOTAL BENEFICIOS ANUALES BRUTOS (Año 1)</t>
  </si>
  <si>
    <t>FLUJO NETO ANUAL (Beneficios − OPEX)</t>
  </si>
  <si>
    <t>FLUJO DE CAJA — CELDA ROBÓTICA DE PALETIZADO (Horizonte 10 años)</t>
  </si>
  <si>
    <t>Año 0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</si>
  <si>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</si>
  <si>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</si>
  <si>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</si>
  <si>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</si>
  <si>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</si>
  <si>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</si>
  <si>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</si>
  <si>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</si>
  <si>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</si>
  <si>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</si>
  <si>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INVERSIÓN (CAPEX)</t>
  </si>
  <si>
    <t>CAPEX Total (con IVA)</t>
  </si>
  <si>
    <t>COSTOS OPERATIVOS (OPEX)</t>
  </si>
  <si>
    <t>Mantenimiento preventivo</t>
  </si>
  <si>
    <t>Energía eléctrica</t>
  </si>
  <si>
    <t>Licencias software</t>
  </si>
  <si>
    <t>Repuestos y consumibles</t>
  </si>
  <si>
    <t>Supervisión técnica</t>
  </si>
  <si>
    <t>Seguros maquinaria</t>
  </si>
  <si>
    <t>TOTAL OPEX</t>
  </si>
  <si>
    <t>BENEFICIOS / AHORROS</t>
  </si>
  <si>
    <t>Reducción MO paletizado</t>
  </si>
  <si>
    <t>Reducción tiempos parada</t>
  </si>
  <si>
    <t>Reducción pérdidas producto</t>
  </si>
  <si>
    <t>Reducción horas extra</t>
  </si>
  <si>
    <t>Mejora OEE</t>
  </si>
  <si>
    <t>Reducción ausentismo/ARL</t>
  </si>
  <si>
    <t>TOTAL BENEFICIOS</t>
  </si>
  <si>
    <t>FLUJO NETO DEL PERÍODO</t>
  </si>
  <si>
    <t>FLUJO ACUMULADO</t>
  </si>
  <si>
    <t>FLUJO DESCONTADO (WACC = 12%)</t>
  </si>
  <si>
    <t>FLUJO DESCONTADO (WACC = 12 %)</t>
  </si>
  <si>
    <t>INDICADORES FINANCIEROS — CELDA ROBÓTICA DE PALETIZADO</t>
  </si>
  <si>
    <t>INDICADORES CLAVE DE RENTABILIDAD</t>
  </si>
  <si>
    <t>Indicador</t>
  </si>
  <si>
    <t>Interpretación</t>
  </si>
  <si>
    <t>VPN — Valor Presente Neto</t>
  </si>
  <si>
    <t>→</t>
  </si>
  <si>
    <t>COP</t>
  </si>
  <si>
    <t>VPN &gt; 0: el proyecto genera valor. VPN &lt; 0: no rentable al WACC dado.</t>
  </si>
  <si>
    <t>TIR — Tasa Interna de Retorno</t>
  </si>
  <si>
    <t>%</t>
  </si>
  <si>
    <t>TIR &gt; WACC (12%): proyecto viable. TIR &lt; WACC: rechazar.</t>
  </si>
  <si>
    <t>Payback simple</t>
  </si>
  <si>
    <t>años</t>
  </si>
  <si>
    <t>Período de recuperación sin descontar la inversión.</t>
  </si>
  <si>
    <t>ROI — Retorno sobre Inversión (10 años)</t>
  </si>
  <si>
    <t>Retorno total sobre el CAPEX a 10 años (sin descontar).</t>
  </si>
  <si>
    <t>Flujo Neto Anual (Año 1)</t>
  </si>
  <si>
    <t>COP/año</t>
  </si>
  <si>
    <t>Beneficios anuales brutos menos OPEX del primer año.</t>
  </si>
  <si>
    <t>Inversión inicial total incluyendo IVA (19%).</t>
  </si>
  <si>
    <t>OPEX Anual (Año 1)</t>
  </si>
  <si>
    <t>Costos operativos del primer año de operación.</t>
  </si>
  <si>
    <t>Beneficios Brutos Anuales (Año 1)</t>
  </si>
  <si>
    <t>Total ahorros y beneficios cuantificables del primer año.</t>
  </si>
  <si>
    <t>ANÁLISIS DE SENSIBILIDAD — WACC vs VPN</t>
  </si>
  <si>
    <t>Tasa de descuento</t>
  </si>
  <si>
    <t>VPN Resultante (COP)</t>
  </si>
  <si>
    <t>Muy favorable</t>
  </si>
  <si>
    <t>Favorable</t>
  </si>
  <si>
    <t>Bueno</t>
  </si>
  <si>
    <t>Base (WACC) ✔ BASE</t>
  </si>
  <si>
    <t>Ajustado</t>
  </si>
  <si>
    <t>Exigente</t>
  </si>
  <si>
    <t>Muy exigente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</si>
</sst>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#,##0&quot; COP&quot;;\(#,##0&quot; COP)&quot;;\-"/>
    <numFmt numFmtId="165" formatCode="0.00%;\(0.00%\);\-"/>
    <numFmt numFmtId="166" formatCode="0.00&quot; años&quot;"/>
    <numFmt numFmtId="167" formatCode="#,##0;\(#,##0\);\-"/>
    <numFmt numFmtId="168" formatCode="#,##0.00&quot; COP/USD&quot;"/>
    <numFmt numFmtId="169" formatCode="0.00\x"/>
    <numFmt numFmtId="170" formatCode="0.0&quot; kW&quot;"/>
    <numFmt numFmtId="171" formatCode="0.0&quot; h&quot;"/>
    <numFmt numFmtId="172" formatCode="#,##0&quot; COP/kWh&quot;"/>
  </numFmts>
  <fonts count="33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FFFFFF"/>
      <name val="Arial"/>
    </font>
    <font/>
    <font>
      <b/>
      <sz val="18.0"/>
      <color rgb="FFFFFFFF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sz val="10.0"/>
      <color rgb="FF2F2F2F"/>
      <name val="Arial"/>
    </font>
    <font>
      <b/>
      <sz val="11.0"/>
      <color rgb="FFFFFFFF"/>
      <name val="Arial"/>
    </font>
    <font>
      <b/>
      <sz val="9.0"/>
      <color rgb="FFFFFFFF"/>
      <name val="Arial"/>
    </font>
    <font>
      <b/>
      <sz val="10.0"/>
      <color rgb="FF1F3864"/>
      <name val="Arial"/>
    </font>
    <font>
      <b/>
      <sz val="12.0"/>
      <color rgb="FFFFFFFF"/>
      <name val="Arial"/>
    </font>
    <font>
      <sz val="9.0"/>
      <color rgb="FF000000"/>
      <name val="Arial"/>
    </font>
    <font>
      <sz val="9.0"/>
      <color rgb="FF0000FF"/>
      <name val="Arial"/>
    </font>
    <font>
      <sz val="9.0"/>
      <color rgb="FF505050"/>
      <name val="Arial"/>
    </font>
    <font>
      <i/>
      <sz val="8.0"/>
      <color rgb="FF606060"/>
      <name val="Arial"/>
    </font>
    <font>
      <b/>
      <sz val="9.0"/>
      <color rgb="FF1F3864"/>
      <name val="Arial"/>
    </font>
    <font>
      <i/>
      <sz val="9.0"/>
      <color rgb="FF505050"/>
      <name val="Arial"/>
    </font>
    <font>
      <b/>
      <sz val="9.0"/>
      <color rgb="FF000000"/>
      <name val="Arial"/>
    </font>
    <font>
      <i/>
      <sz val="8.0"/>
      <color rgb="FF505050"/>
      <name val="Arial"/>
    </font>
    <font>
      <i/>
      <sz val="8.0"/>
      <color rgb="FF1155CC"/>
      <name val="Arial"/>
    </font>
    <font>
      <u/>
      <sz val="11.0"/>
      <color theme="10"/>
      <name val="Calibri"/>
    </font>
    <font>
      <i/>
      <sz val="9.0"/>
      <color theme="1"/>
      <name val="Arial"/>
    </font>
    <font>
      <b/>
      <sz val="9.0"/>
      <color theme="1"/>
      <name val="Arial"/>
    </font>
    <font>
      <i/>
      <sz val="8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sz val="9.0"/>
      <color theme="1"/>
      <name val="Arial"/>
    </font>
    <font>
      <b/>
      <sz val="11.0"/>
      <color rgb="FF1F3864"/>
      <name val="Arial"/>
    </font>
    <font>
      <i/>
      <sz val="8.0"/>
      <color rgb="FF404040"/>
      <name val="Arial"/>
    </font>
    <font>
      <sz val="9.0"/>
      <color rgb="FF595959"/>
      <name val="Arial"/>
    </font>
    <font>
      <b/>
      <sz val="11.0"/>
      <color rgb="FF595959"/>
      <name val="Arial"/>
    </font>
    <font>
      <b/>
      <i/>
      <sz val="9.0"/>
      <color rgb="FF1F3864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8F8F8"/>
        <bgColor rgb="FFF8F8F8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61023"/>
        <bgColor rgb="FFE61023"/>
      </patternFill>
    </fill>
    <fill>
      <patternFill patternType="solid">
        <fgColor rgb="FF595959"/>
        <bgColor rgb="FF595959"/>
      </patternFill>
    </fill>
    <fill>
      <patternFill patternType="solid">
        <fgColor rgb="FFF2F2F2"/>
        <bgColor rgb="FFF2F2F2"/>
      </patternFill>
    </fill>
    <fill>
      <patternFill patternType="solid">
        <fgColor rgb="FF2F2F2F"/>
        <bgColor rgb="FF2F2F2F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008B8B"/>
        <bgColor rgb="FF008B8B"/>
      </patternFill>
    </fill>
    <fill>
      <patternFill patternType="solid">
        <fgColor rgb="FF7030A0"/>
        <bgColor rgb="FF7030A0"/>
      </patternFill>
    </fill>
    <fill>
      <patternFill patternType="solid">
        <fgColor rgb="FF833C00"/>
        <bgColor rgb="FF833C00"/>
      </patternFill>
    </fill>
    <fill>
      <patternFill patternType="solid">
        <fgColor rgb="FFFFF0CC"/>
        <bgColor rgb="FFFFF0CC"/>
      </patternFill>
    </fill>
    <fill>
      <patternFill patternType="solid">
        <fgColor rgb="FF8DC63F"/>
        <bgColor rgb="FF8DC63F"/>
      </patternFill>
    </fill>
    <fill>
      <patternFill patternType="solid">
        <fgColor rgb="FFEAF4FF"/>
        <bgColor rgb="FFEAF4FF"/>
      </patternFill>
    </fill>
  </fills>
  <borders count="4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/>
      <top style="thin">
        <color rgb="FFB0B0B0"/>
      </top>
      <bottom style="thin">
        <color rgb="FFB0B0B0"/>
      </bottom>
    </border>
    <border>
      <left style="thin">
        <color rgb="FF1F3864"/>
      </left>
      <top style="thin">
        <color rgb="FF1F3864"/>
      </top>
      <bottom style="thin">
        <color rgb="FF1F3864"/>
      </bottom>
    </border>
    <border>
      <top style="thin">
        <color rgb="FF1F3864"/>
      </top>
      <bottom style="thin">
        <color rgb="FF1F3864"/>
      </bottom>
    </border>
    <border>
      <right/>
      <top style="thin">
        <color rgb="FF1F3864"/>
      </top>
      <bottom style="thin">
        <color rgb="FF1F3864"/>
      </bottom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</border>
    <border>
      <left style="thin">
        <color rgb="FF2E75B6"/>
      </left>
      <top style="thin">
        <color rgb="FF2E75B6"/>
      </top>
      <bottom style="thin">
        <color rgb="FF2E75B6"/>
      </bottom>
    </border>
    <border>
      <top style="thin">
        <color rgb="FF2E75B6"/>
      </top>
      <bottom style="thin">
        <color rgb="FF2E75B6"/>
      </bottom>
    </border>
    <border>
      <right/>
      <top style="thin">
        <color rgb="FF2E75B6"/>
      </top>
      <bottom style="thin">
        <color rgb="FF2E75B6"/>
      </bottom>
    </border>
    <border>
      <left style="thin">
        <color rgb="FF2F2F2F"/>
      </left>
      <right style="thin">
        <color rgb="FF2F2F2F"/>
      </right>
      <top style="thin">
        <color rgb="FF2F2F2F"/>
      </top>
      <bottom style="thin">
        <color rgb="FF2F2F2F"/>
      </bottom>
    </border>
    <border>
      <left style="thin">
        <color rgb="FF4472C4"/>
      </left>
      <top style="thin">
        <color rgb="FF4472C4"/>
      </top>
      <bottom style="thin">
        <color rgb="FF4472C4"/>
      </bottom>
    </border>
    <border>
      <top style="thin">
        <color rgb="FF4472C4"/>
      </top>
      <bottom style="thin">
        <color rgb="FF4472C4"/>
      </bottom>
    </border>
    <border>
      <right/>
      <top style="thin">
        <color rgb="FF4472C4"/>
      </top>
      <bottom style="thin">
        <color rgb="FF4472C4"/>
      </bottom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</border>
    <border>
      <left style="thin">
        <color rgb="FF008B8B"/>
      </left>
      <top style="thin">
        <color rgb="FF008B8B"/>
      </top>
      <bottom style="thin">
        <color rgb="FF008B8B"/>
      </bottom>
    </border>
    <border>
      <top style="thin">
        <color rgb="FF008B8B"/>
      </top>
      <bottom style="thin">
        <color rgb="FF008B8B"/>
      </bottom>
    </border>
    <border>
      <right/>
      <top style="thin">
        <color rgb="FF008B8B"/>
      </top>
      <bottom style="thin">
        <color rgb="FF008B8B"/>
      </bottom>
    </border>
    <border>
      <left style="thin">
        <color rgb="FF7030A0"/>
      </left>
      <top style="thin">
        <color rgb="FF7030A0"/>
      </top>
      <bottom style="thin">
        <color rgb="FF7030A0"/>
      </bottom>
    </border>
    <border>
      <top style="thin">
        <color rgb="FF7030A0"/>
      </top>
      <bottom style="thin">
        <color rgb="FF7030A0"/>
      </bottom>
    </border>
    <border>
      <right/>
      <top style="thin">
        <color rgb="FF7030A0"/>
      </top>
      <bottom style="thin">
        <color rgb="FF7030A0"/>
      </bottom>
    </border>
    <border>
      <left style="thin">
        <color rgb="FF833C00"/>
      </left>
      <top style="thin">
        <color rgb="FF833C00"/>
      </top>
      <bottom style="thin">
        <color rgb="FF833C00"/>
      </bottom>
    </border>
    <border>
      <top style="thin">
        <color rgb="FF833C00"/>
      </top>
      <bottom style="thin">
        <color rgb="FF833C00"/>
      </bottom>
    </border>
    <border>
      <right/>
      <top style="thin">
        <color rgb="FF833C00"/>
      </top>
      <bottom style="thin">
        <color rgb="FF833C00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/>
      <top style="thin">
        <color rgb="FF595959"/>
      </top>
      <bottom style="thin">
        <color rgb="FF595959"/>
      </bottom>
    </border>
    <border>
      <left style="thin">
        <color rgb="FFE61023"/>
      </left>
      <top style="thin">
        <color rgb="FFE61023"/>
      </top>
      <bottom style="thin">
        <color rgb="FFE61023"/>
      </bottom>
    </border>
    <border>
      <top style="thin">
        <color rgb="FFE61023"/>
      </top>
      <bottom style="thin">
        <color rgb="FFE61023"/>
      </bottom>
    </border>
    <border>
      <right/>
      <top style="thin">
        <color rgb="FFE61023"/>
      </top>
      <bottom style="thin">
        <color rgb="FFE61023"/>
      </bottom>
    </border>
    <border>
      <left style="thin">
        <color rgb="FF2F2F2F"/>
      </left>
      <top style="thin">
        <color rgb="FF2F2F2F"/>
      </top>
      <bottom style="thin">
        <color rgb="FF2F2F2F"/>
      </bottom>
    </border>
    <border>
      <top style="thin">
        <color rgb="FF2F2F2F"/>
      </top>
      <bottom style="thin">
        <color rgb="FF2F2F2F"/>
      </bottom>
    </border>
    <border>
      <right/>
      <top style="thin">
        <color rgb="FF2F2F2F"/>
      </top>
      <bottom style="thin">
        <color rgb="FF2F2F2F"/>
      </bottom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E61023"/>
      </left>
      <right style="thin">
        <color rgb="FFE61023"/>
      </right>
      <top style="thin">
        <color rgb="FFE61023"/>
      </top>
      <bottom style="thin">
        <color rgb="FFE61023"/>
      </bottom>
    </border>
    <border>
      <left style="thin">
        <color rgb="FF8DC63F"/>
      </left>
      <top style="thin">
        <color rgb="FF8DC63F"/>
      </top>
      <bottom style="thin">
        <color rgb="FF8DC63F"/>
      </bottom>
    </border>
    <border>
      <top style="thin">
        <color rgb="FF8DC63F"/>
      </top>
      <bottom style="thin">
        <color rgb="FF8DC63F"/>
      </bottom>
    </border>
    <border>
      <right/>
      <top style="thin">
        <color rgb="FF8DC63F"/>
      </top>
      <bottom style="thin">
        <color rgb="FF8DC63F"/>
      </bottom>
    </border>
    <border>
      <left style="thin">
        <color rgb="FF8DC63F"/>
      </left>
      <right style="thin">
        <color rgb="FF8DC63F"/>
      </right>
      <top style="thin">
        <color rgb="FF8DC63F"/>
      </top>
      <bottom style="thin">
        <color rgb="FF8DC63F"/>
      </bottom>
    </border>
    <border>
      <left style="thin">
        <color rgb="FF2F2F2F"/>
      </left>
      <right/>
      <top style="thin">
        <color rgb="FF2F2F2F"/>
      </top>
      <bottom style="thin">
        <color rgb="FF2F2F2F"/>
      </bottom>
    </border>
    <border>
      <left style="thin">
        <color rgb="FF2F2F2F"/>
      </left>
      <right style="thin">
        <color rgb="FF2F2F2F"/>
      </right>
      <bottom style="thin">
        <color rgb="FF2F2F2F"/>
      </bottom>
    </border>
  </borders>
  <cellStyleXfs count="1">
    <xf borderId="0" fillId="0" fontId="0" numFmtId="0" applyAlignment="1" applyFont="1"/>
  </cellStyleXfs>
  <cellXfs count="16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4" fontId="4" numFmtId="0" xfId="0" applyAlignment="1" applyBorder="1" applyFill="1" applyFont="1">
      <alignment horizontal="center" vertical="center"/>
    </xf>
    <xf borderId="2" fillId="5" fontId="5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right" vertical="center"/>
    </xf>
    <xf borderId="6" fillId="7" fontId="7" numFmtId="0" xfId="0" applyAlignment="1" applyBorder="1" applyFill="1" applyFont="1">
      <alignment horizontal="left" vertical="center"/>
    </xf>
    <xf borderId="7" fillId="0" fontId="3" numFmtId="0" xfId="0" applyBorder="1" applyFont="1"/>
    <xf borderId="8" fillId="0" fontId="3" numFmtId="0" xfId="0" applyBorder="1" applyFont="1"/>
    <xf borderId="9" fillId="3" fontId="8" numFmtId="0" xfId="0" applyAlignment="1" applyBorder="1" applyFont="1">
      <alignment horizontal="center" vertical="center"/>
    </xf>
    <xf borderId="10" fillId="0" fontId="3" numFmtId="0" xfId="0" applyBorder="1" applyFont="1"/>
    <xf borderId="11" fillId="0" fontId="3" numFmtId="0" xfId="0" applyBorder="1" applyFont="1"/>
    <xf borderId="12" fillId="4" fontId="9" numFmtId="0" xfId="0" applyAlignment="1" applyBorder="1" applyFont="1">
      <alignment horizontal="center" vertical="center"/>
    </xf>
    <xf borderId="5" fillId="7" fontId="10" numFmtId="164" xfId="0" applyAlignment="1" applyBorder="1" applyFont="1" applyNumberFormat="1">
      <alignment horizontal="center" vertical="center"/>
    </xf>
    <xf borderId="5" fillId="7" fontId="10" numFmtId="165" xfId="0" applyAlignment="1" applyBorder="1" applyFont="1" applyNumberFormat="1">
      <alignment horizontal="center" vertical="center"/>
    </xf>
    <xf borderId="5" fillId="7" fontId="10" numFmtId="166" xfId="0" applyAlignment="1" applyBorder="1" applyFont="1" applyNumberFormat="1">
      <alignment horizontal="center" vertical="center"/>
    </xf>
    <xf borderId="9" fillId="3" fontId="11" numFmtId="0" xfId="0" applyAlignment="1" applyBorder="1" applyFont="1">
      <alignment horizontal="center" vertical="center"/>
    </xf>
    <xf borderId="13" fillId="4" fontId="6" numFmtId="0" xfId="0" applyAlignment="1" applyBorder="1" applyFont="1">
      <alignment horizontal="center" vertical="center"/>
    </xf>
    <xf borderId="14" fillId="0" fontId="3" numFmtId="0" xfId="0" applyBorder="1" applyFont="1"/>
    <xf borderId="15" fillId="0" fontId="3" numFmtId="0" xfId="0" applyBorder="1" applyFont="1"/>
    <xf borderId="16" fillId="8" fontId="6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9" fontId="13" numFmtId="167" xfId="0" applyAlignment="1" applyBorder="1" applyFont="1" applyNumberFormat="1">
      <alignment horizontal="center"/>
    </xf>
    <xf borderId="5" fillId="9" fontId="14" numFmtId="0" xfId="0" applyAlignment="1" applyBorder="1" applyFont="1">
      <alignment horizontal="center" vertical="center"/>
    </xf>
    <xf borderId="5" fillId="9" fontId="15" numFmtId="0" xfId="0" applyAlignment="1" applyBorder="1" applyFont="1">
      <alignment horizontal="left" vertical="center"/>
    </xf>
    <xf borderId="5" fillId="7" fontId="12" numFmtId="0" xfId="0" applyAlignment="1" applyBorder="1" applyFont="1">
      <alignment horizontal="left" vertical="center"/>
    </xf>
    <xf borderId="5" fillId="7" fontId="13" numFmtId="167" xfId="0" applyAlignment="1" applyBorder="1" applyFont="1" applyNumberFormat="1">
      <alignment horizontal="center"/>
    </xf>
    <xf borderId="5" fillId="7" fontId="14" numFmtId="0" xfId="0" applyAlignment="1" applyBorder="1" applyFont="1">
      <alignment horizontal="center" vertical="center"/>
    </xf>
    <xf borderId="5" fillId="7" fontId="15" numFmtId="0" xfId="0" applyAlignment="1" applyBorder="1" applyFont="1">
      <alignment horizontal="left" vertical="center"/>
    </xf>
    <xf borderId="5" fillId="7" fontId="13" numFmtId="168" xfId="0" applyAlignment="1" applyBorder="1" applyFont="1" applyNumberFormat="1">
      <alignment horizontal="center"/>
    </xf>
    <xf borderId="5" fillId="9" fontId="13" numFmtId="165" xfId="0" applyAlignment="1" applyBorder="1" applyFont="1" applyNumberFormat="1">
      <alignment horizontal="center"/>
    </xf>
    <xf borderId="5" fillId="7" fontId="13" numFmtId="165" xfId="0" applyAlignment="1" applyBorder="1" applyFont="1" applyNumberFormat="1">
      <alignment horizontal="center"/>
    </xf>
    <xf borderId="5" fillId="9" fontId="13" numFmtId="164" xfId="0" applyAlignment="1" applyBorder="1" applyFont="1" applyNumberFormat="1">
      <alignment horizontal="center"/>
    </xf>
    <xf borderId="5" fillId="7" fontId="13" numFmtId="169" xfId="0" applyAlignment="1" applyBorder="1" applyFont="1" applyNumberFormat="1">
      <alignment horizontal="center"/>
    </xf>
    <xf borderId="5" fillId="9" fontId="12" numFmtId="164" xfId="0" applyAlignment="1" applyBorder="1" applyFont="1" applyNumberFormat="1">
      <alignment horizontal="center"/>
    </xf>
    <xf borderId="5" fillId="7" fontId="12" numFmtId="167" xfId="0" applyAlignment="1" applyBorder="1" applyFont="1" applyNumberFormat="1">
      <alignment horizontal="center"/>
    </xf>
    <xf borderId="5" fillId="7" fontId="13" numFmtId="170" xfId="0" applyAlignment="1" applyBorder="1" applyFont="1" applyNumberFormat="1">
      <alignment horizontal="center"/>
    </xf>
    <xf borderId="5" fillId="9" fontId="13" numFmtId="170" xfId="0" applyAlignment="1" applyBorder="1" applyFont="1" applyNumberFormat="1">
      <alignment horizontal="center"/>
    </xf>
    <xf borderId="5" fillId="9" fontId="13" numFmtId="171" xfId="0" applyAlignment="1" applyBorder="1" applyFont="1" applyNumberFormat="1">
      <alignment horizontal="center"/>
    </xf>
    <xf borderId="5" fillId="7" fontId="13" numFmtId="172" xfId="0" applyAlignment="1" applyBorder="1" applyFont="1" applyNumberFormat="1">
      <alignment horizontal="center"/>
    </xf>
    <xf borderId="17" fillId="10" fontId="6" numFmtId="0" xfId="0" applyAlignment="1" applyBorder="1" applyFill="1" applyFont="1">
      <alignment horizontal="left" vertical="center"/>
    </xf>
    <xf borderId="18" fillId="0" fontId="3" numFmtId="0" xfId="0" applyBorder="1" applyFont="1"/>
    <xf borderId="19" fillId="0" fontId="3" numFmtId="0" xfId="0" applyBorder="1" applyFont="1"/>
    <xf borderId="20" fillId="7" fontId="16" numFmtId="0" xfId="0" applyAlignment="1" applyBorder="1" applyFont="1">
      <alignment horizontal="center" vertical="center"/>
    </xf>
    <xf borderId="20" fillId="7" fontId="12" numFmtId="0" xfId="0" applyAlignment="1" applyBorder="1" applyFont="1">
      <alignment horizontal="left" shrinkToFit="0" vertical="center" wrapText="1"/>
    </xf>
    <xf borderId="20" fillId="7" fontId="13" numFmtId="167" xfId="0" applyAlignment="1" applyBorder="1" applyFont="1" applyNumberFormat="1">
      <alignment horizontal="center" vertical="center"/>
    </xf>
    <xf borderId="20" fillId="7" fontId="17" numFmtId="0" xfId="0" applyAlignment="1" applyBorder="1" applyFont="1">
      <alignment horizontal="center" vertical="center"/>
    </xf>
    <xf borderId="20" fillId="7" fontId="13" numFmtId="164" xfId="0" applyAlignment="1" applyBorder="1" applyFont="1" applyNumberFormat="1">
      <alignment horizontal="right" vertical="center"/>
    </xf>
    <xf borderId="20" fillId="7" fontId="12" numFmtId="164" xfId="0" applyAlignment="1" applyBorder="1" applyFont="1" applyNumberFormat="1">
      <alignment horizontal="right"/>
    </xf>
    <xf borderId="20" fillId="7" fontId="18" numFmtId="164" xfId="0" applyAlignment="1" applyBorder="1" applyFont="1" applyNumberFormat="1">
      <alignment horizontal="right"/>
    </xf>
    <xf borderId="20" fillId="7" fontId="19" numFmtId="0" xfId="0" applyAlignment="1" applyBorder="1" applyFont="1">
      <alignment horizontal="center" vertical="center"/>
    </xf>
    <xf borderId="20" fillId="7" fontId="20" numFmtId="0" xfId="0" applyAlignment="1" applyBorder="1" applyFont="1">
      <alignment horizontal="left" shrinkToFit="0" vertical="center" wrapText="1"/>
    </xf>
    <xf borderId="20" fillId="9" fontId="16" numFmtId="0" xfId="0" applyAlignment="1" applyBorder="1" applyFont="1">
      <alignment horizontal="center" vertical="center"/>
    </xf>
    <xf borderId="20" fillId="9" fontId="12" numFmtId="0" xfId="0" applyAlignment="1" applyBorder="1" applyFont="1">
      <alignment horizontal="left" shrinkToFit="0" vertical="center" wrapText="1"/>
    </xf>
    <xf borderId="20" fillId="9" fontId="13" numFmtId="167" xfId="0" applyAlignment="1" applyBorder="1" applyFont="1" applyNumberFormat="1">
      <alignment horizontal="center" vertical="center"/>
    </xf>
    <xf borderId="20" fillId="9" fontId="17" numFmtId="0" xfId="0" applyAlignment="1" applyBorder="1" applyFont="1">
      <alignment horizontal="center" vertical="center"/>
    </xf>
    <xf borderId="20" fillId="9" fontId="13" numFmtId="164" xfId="0" applyAlignment="1" applyBorder="1" applyFont="1" applyNumberFormat="1">
      <alignment horizontal="right" vertical="center"/>
    </xf>
    <xf borderId="20" fillId="9" fontId="12" numFmtId="164" xfId="0" applyAlignment="1" applyBorder="1" applyFont="1" applyNumberFormat="1">
      <alignment horizontal="right"/>
    </xf>
    <xf borderId="20" fillId="9" fontId="18" numFmtId="164" xfId="0" applyAlignment="1" applyBorder="1" applyFont="1" applyNumberFormat="1">
      <alignment horizontal="right"/>
    </xf>
    <xf borderId="20" fillId="9" fontId="19" numFmtId="0" xfId="0" applyAlignment="1" applyBorder="1" applyFont="1">
      <alignment horizontal="center" vertical="center"/>
    </xf>
    <xf borderId="20" fillId="9" fontId="20" numFmtId="0" xfId="0" applyAlignment="1" applyBorder="1" applyFont="1">
      <alignment horizontal="left" shrinkToFit="0" vertical="center" wrapText="1"/>
    </xf>
    <xf borderId="21" fillId="11" fontId="6" numFmtId="0" xfId="0" applyAlignment="1" applyBorder="1" applyFill="1" applyFont="1">
      <alignment horizontal="left" vertical="center"/>
    </xf>
    <xf borderId="22" fillId="0" fontId="3" numFmtId="0" xfId="0" applyBorder="1" applyFont="1"/>
    <xf borderId="23" fillId="0" fontId="3" numFmtId="0" xfId="0" applyBorder="1" applyFont="1"/>
    <xf borderId="24" fillId="12" fontId="9" numFmtId="0" xfId="0" applyAlignment="1" applyBorder="1" applyFill="1" applyFont="1">
      <alignment horizontal="left" vertical="center"/>
    </xf>
    <xf borderId="25" fillId="0" fontId="3" numFmtId="0" xfId="0" applyBorder="1" applyFont="1"/>
    <xf borderId="26" fillId="0" fontId="3" numFmtId="0" xfId="0" applyBorder="1" applyFont="1"/>
    <xf borderId="27" fillId="13" fontId="9" numFmtId="0" xfId="0" applyAlignment="1" applyBorder="1" applyFill="1" applyFont="1">
      <alignment horizontal="left" vertical="center"/>
    </xf>
    <xf borderId="28" fillId="0" fontId="3" numFmtId="0" xfId="0" applyBorder="1" applyFont="1"/>
    <xf borderId="29" fillId="0" fontId="3" numFmtId="0" xfId="0" applyBorder="1" applyFont="1"/>
    <xf borderId="20" fillId="7" fontId="21" numFmtId="0" xfId="0" applyAlignment="1" applyBorder="1" applyFont="1">
      <alignment horizontal="left" shrinkToFit="0" vertical="center" wrapText="1"/>
    </xf>
    <xf borderId="13" fillId="4" fontId="6" numFmtId="0" xfId="0" applyAlignment="1" applyBorder="1" applyFont="1">
      <alignment horizontal="left" vertical="center"/>
    </xf>
    <xf borderId="30" fillId="6" fontId="6" numFmtId="0" xfId="0" applyAlignment="1" applyBorder="1" applyFont="1">
      <alignment horizontal="left" vertical="center"/>
    </xf>
    <xf borderId="31" fillId="0" fontId="3" numFmtId="0" xfId="0" applyBorder="1" applyFont="1"/>
    <xf borderId="32" fillId="0" fontId="3" numFmtId="0" xfId="0" applyBorder="1" applyFont="1"/>
    <xf borderId="33" fillId="5" fontId="6" numFmtId="0" xfId="0" applyAlignment="1" applyBorder="1" applyFont="1">
      <alignment horizontal="left" vertical="center"/>
    </xf>
    <xf borderId="34" fillId="0" fontId="3" numFmtId="0" xfId="0" applyBorder="1" applyFont="1"/>
    <xf borderId="35" fillId="0" fontId="3" numFmtId="0" xfId="0" applyBorder="1" applyFont="1"/>
    <xf borderId="36" fillId="8" fontId="6" numFmtId="0" xfId="0" applyAlignment="1" applyBorder="1" applyFont="1">
      <alignment horizontal="left" vertical="center"/>
    </xf>
    <xf borderId="37" fillId="0" fontId="3" numFmtId="0" xfId="0" applyBorder="1" applyFont="1"/>
    <xf borderId="38" fillId="0" fontId="3" numFmtId="0" xfId="0" applyBorder="1" applyFont="1"/>
    <xf borderId="20" fillId="14" fontId="16" numFmtId="0" xfId="0" applyAlignment="1" applyBorder="1" applyFill="1" applyFont="1">
      <alignment horizontal="center"/>
    </xf>
    <xf borderId="20" fillId="14" fontId="22" numFmtId="0" xfId="0" applyAlignment="1" applyBorder="1" applyFont="1">
      <alignment shrinkToFit="0" wrapText="1"/>
    </xf>
    <xf borderId="20" fillId="14" fontId="1" numFmtId="0" xfId="0" applyAlignment="1" applyBorder="1" applyFont="1">
      <alignment horizontal="center"/>
    </xf>
    <xf borderId="20" fillId="14" fontId="1" numFmtId="0" xfId="0" applyBorder="1" applyFont="1"/>
    <xf borderId="20" fillId="14" fontId="23" numFmtId="164" xfId="0" applyAlignment="1" applyBorder="1" applyFont="1" applyNumberFormat="1">
      <alignment horizontal="right"/>
    </xf>
    <xf borderId="9" fillId="3" fontId="6" numFmtId="0" xfId="0" applyAlignment="1" applyBorder="1" applyFont="1">
      <alignment horizontal="right" vertical="center"/>
    </xf>
    <xf borderId="39" fillId="3" fontId="8" numFmtId="164" xfId="0" applyAlignment="1" applyBorder="1" applyFont="1" applyNumberFormat="1">
      <alignment horizontal="right"/>
    </xf>
    <xf borderId="39" fillId="3" fontId="1" numFmtId="0" xfId="0" applyBorder="1" applyFont="1"/>
    <xf borderId="30" fillId="6" fontId="6" numFmtId="0" xfId="0" applyAlignment="1" applyBorder="1" applyFont="1">
      <alignment horizontal="right" vertical="center"/>
    </xf>
    <xf borderId="40" fillId="6" fontId="8" numFmtId="164" xfId="0" applyAlignment="1" applyBorder="1" applyFont="1" applyNumberFormat="1">
      <alignment horizontal="right"/>
    </xf>
    <xf borderId="40" fillId="6" fontId="1" numFmtId="0" xfId="0" applyBorder="1" applyFont="1"/>
    <xf borderId="33" fillId="5" fontId="8" numFmtId="0" xfId="0" applyAlignment="1" applyBorder="1" applyFont="1">
      <alignment horizontal="right" vertical="center"/>
    </xf>
    <xf borderId="41" fillId="5" fontId="11" numFmtId="164" xfId="0" applyAlignment="1" applyBorder="1" applyFont="1" applyNumberFormat="1">
      <alignment horizontal="right"/>
    </xf>
    <xf borderId="41" fillId="5" fontId="1" numFmtId="0" xfId="0" applyBorder="1" applyFont="1"/>
    <xf borderId="0" fillId="0" fontId="15" numFmtId="0" xfId="0" applyAlignment="1" applyFont="1">
      <alignment shrinkToFit="0" wrapText="1"/>
    </xf>
    <xf borderId="5" fillId="9" fontId="12" numFmtId="0" xfId="0" applyAlignment="1" applyBorder="1" applyFont="1">
      <alignment horizontal="left" shrinkToFit="0" vertical="center" wrapText="1"/>
    </xf>
    <xf borderId="5" fillId="9" fontId="13" numFmtId="164" xfId="0" applyAlignment="1" applyBorder="1" applyFont="1" applyNumberFormat="1">
      <alignment horizontal="right"/>
    </xf>
    <xf borderId="5" fillId="9" fontId="24" numFmtId="0" xfId="0" applyAlignment="1" applyBorder="1" applyFont="1">
      <alignment horizontal="left" vertical="center"/>
    </xf>
    <xf borderId="5" fillId="9" fontId="19" numFmtId="0" xfId="0" applyAlignment="1" applyBorder="1" applyFont="1">
      <alignment horizontal="left" shrinkToFit="0" vertical="center" wrapText="1"/>
    </xf>
    <xf borderId="5" fillId="7" fontId="12" numFmtId="0" xfId="0" applyAlignment="1" applyBorder="1" applyFont="1">
      <alignment horizontal="left" shrinkToFit="0" vertical="center" wrapText="1"/>
    </xf>
    <xf borderId="5" fillId="7" fontId="12" numFmtId="164" xfId="0" applyAlignment="1" applyBorder="1" applyFont="1" applyNumberFormat="1">
      <alignment horizontal="right"/>
    </xf>
    <xf borderId="5" fillId="7" fontId="24" numFmtId="0" xfId="0" applyAlignment="1" applyBorder="1" applyFont="1">
      <alignment horizontal="left" vertical="center"/>
    </xf>
    <xf borderId="5" fillId="7" fontId="19" numFmtId="0" xfId="0" applyAlignment="1" applyBorder="1" applyFont="1">
      <alignment horizontal="left" shrinkToFit="0" vertical="center" wrapText="1"/>
    </xf>
    <xf borderId="5" fillId="7" fontId="13" numFmtId="164" xfId="0" applyAlignment="1" applyBorder="1" applyFont="1" applyNumberFormat="1">
      <alignment horizontal="right"/>
    </xf>
    <xf borderId="12" fillId="4" fontId="6" numFmtId="0" xfId="0" applyAlignment="1" applyBorder="1" applyFont="1">
      <alignment horizontal="left" vertical="center"/>
    </xf>
    <xf borderId="12" fillId="4" fontId="8" numFmtId="164" xfId="0" applyAlignment="1" applyBorder="1" applyFont="1" applyNumberFormat="1">
      <alignment horizontal="right"/>
    </xf>
    <xf borderId="12" fillId="4" fontId="25" numFmtId="0" xfId="0" applyAlignment="1" applyBorder="1" applyFont="1">
      <alignment horizontal="left" vertical="center"/>
    </xf>
    <xf borderId="42" fillId="15" fontId="26" numFmtId="0" xfId="0" applyAlignment="1" applyBorder="1" applyFill="1" applyFont="1">
      <alignment horizontal="center" vertical="center"/>
    </xf>
    <xf borderId="43" fillId="0" fontId="3" numFmtId="0" xfId="0" applyBorder="1" applyFont="1"/>
    <xf borderId="44" fillId="0" fontId="3" numFmtId="0" xfId="0" applyBorder="1" applyFont="1"/>
    <xf borderId="45" fillId="15" fontId="6" numFmtId="0" xfId="0" applyAlignment="1" applyBorder="1" applyFont="1">
      <alignment horizontal="left" vertical="center"/>
    </xf>
    <xf borderId="45" fillId="15" fontId="8" numFmtId="164" xfId="0" applyAlignment="1" applyBorder="1" applyFont="1" applyNumberFormat="1">
      <alignment horizontal="right"/>
    </xf>
    <xf borderId="45" fillId="15" fontId="25" numFmtId="0" xfId="0" applyAlignment="1" applyBorder="1" applyFont="1">
      <alignment horizontal="left" vertical="center"/>
    </xf>
    <xf borderId="39" fillId="3" fontId="6" numFmtId="0" xfId="0" applyAlignment="1" applyBorder="1" applyFont="1">
      <alignment horizontal="left" vertical="center"/>
    </xf>
    <xf borderId="39" fillId="3" fontId="11" numFmtId="164" xfId="0" applyAlignment="1" applyBorder="1" applyFont="1" applyNumberFormat="1">
      <alignment horizontal="right"/>
    </xf>
    <xf borderId="39" fillId="3" fontId="25" numFmtId="0" xfId="0" applyAlignment="1" applyBorder="1" applyFont="1">
      <alignment horizontal="left" vertical="center"/>
    </xf>
    <xf borderId="0" fillId="0" fontId="6" numFmtId="164" xfId="0" applyFont="1" applyNumberFormat="1"/>
    <xf borderId="41" fillId="5" fontId="6" numFmtId="0" xfId="0" applyAlignment="1" applyBorder="1" applyFont="1">
      <alignment horizontal="center" vertical="center"/>
    </xf>
    <xf borderId="12" fillId="4" fontId="6" numFmtId="0" xfId="0" applyAlignment="1" applyBorder="1" applyFont="1">
      <alignment horizontal="center" vertical="center"/>
    </xf>
    <xf borderId="30" fillId="6" fontId="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shrinkToFit="0" vertical="center" wrapText="1"/>
    </xf>
    <xf borderId="5" fillId="5" fontId="9" numFmtId="164" xfId="0" applyAlignment="1" applyBorder="1" applyFont="1" applyNumberFormat="1">
      <alignment horizontal="right"/>
    </xf>
    <xf borderId="5" fillId="7" fontId="9" numFmtId="164" xfId="0" applyAlignment="1" applyBorder="1" applyFont="1" applyNumberFormat="1">
      <alignment horizontal="right"/>
    </xf>
    <xf borderId="5" fillId="9" fontId="12" numFmtId="164" xfId="0" applyAlignment="1" applyBorder="1" applyFont="1" applyNumberFormat="1">
      <alignment horizontal="right"/>
    </xf>
    <xf borderId="40" fillId="6" fontId="9" numFmtId="0" xfId="0" applyAlignment="1" applyBorder="1" applyFont="1">
      <alignment horizontal="left" vertical="center"/>
    </xf>
    <xf borderId="40" fillId="6" fontId="9" numFmtId="164" xfId="0" applyAlignment="1" applyBorder="1" applyFont="1" applyNumberFormat="1">
      <alignment horizontal="right"/>
    </xf>
    <xf borderId="42" fillId="15" fontId="18" numFmtId="0" xfId="0" applyAlignment="1" applyBorder="1" applyFont="1">
      <alignment horizontal="center" vertical="center"/>
    </xf>
    <xf borderId="45" fillId="15" fontId="9" numFmtId="0" xfId="0" applyAlignment="1" applyBorder="1" applyFont="1">
      <alignment horizontal="left" vertical="center"/>
    </xf>
    <xf borderId="45" fillId="15" fontId="9" numFmtId="164" xfId="0" applyAlignment="1" applyBorder="1" applyFont="1" applyNumberFormat="1">
      <alignment horizontal="right"/>
    </xf>
    <xf borderId="39" fillId="3" fontId="6" numFmtId="164" xfId="0" applyAlignment="1" applyBorder="1" applyFont="1" applyNumberFormat="1">
      <alignment horizontal="right"/>
    </xf>
    <xf borderId="12" fillId="4" fontId="6" numFmtId="164" xfId="0" applyAlignment="1" applyBorder="1" applyFont="1" applyNumberFormat="1">
      <alignment horizontal="right"/>
    </xf>
    <xf borderId="46" fillId="8" fontId="9" numFmtId="0" xfId="0" applyAlignment="1" applyBorder="1" applyFont="1">
      <alignment horizontal="center" vertical="center"/>
    </xf>
    <xf borderId="37" fillId="0" fontId="1" numFmtId="0" xfId="0" applyBorder="1" applyFont="1"/>
    <xf borderId="5" fillId="8" fontId="9" numFmtId="0" xfId="0" applyAlignment="1" applyBorder="1" applyFont="1">
      <alignment horizontal="left" vertical="center"/>
    </xf>
    <xf borderId="1" fillId="8" fontId="9" numFmtId="0" xfId="0" applyAlignment="1" applyBorder="1" applyFont="1">
      <alignment horizontal="center" vertical="center"/>
    </xf>
    <xf borderId="0" fillId="0" fontId="27" numFmtId="164" xfId="0" applyAlignment="1" applyFont="1" applyNumberFormat="1">
      <alignment horizontal="right"/>
    </xf>
    <xf borderId="47" fillId="8" fontId="6" numFmtId="0" xfId="0" applyAlignment="1" applyBorder="1" applyFont="1">
      <alignment horizontal="center" vertical="center"/>
    </xf>
    <xf borderId="5" fillId="7" fontId="16" numFmtId="0" xfId="0" applyAlignment="1" applyBorder="1" applyFont="1">
      <alignment horizontal="left" vertical="center"/>
    </xf>
    <xf borderId="5" fillId="7" fontId="28" numFmtId="0" xfId="0" applyAlignment="1" applyBorder="1" applyFont="1">
      <alignment horizontal="center" vertical="center"/>
    </xf>
    <xf borderId="5" fillId="16" fontId="10" numFmtId="164" xfId="0" applyAlignment="1" applyBorder="1" applyFill="1" applyFont="1" applyNumberFormat="1">
      <alignment horizontal="center"/>
    </xf>
    <xf borderId="5" fillId="7" fontId="29" numFmtId="0" xfId="0" applyAlignment="1" applyBorder="1" applyFont="1">
      <alignment horizontal="left" shrinkToFit="0" vertical="center" wrapText="1"/>
    </xf>
    <xf borderId="5" fillId="9" fontId="16" numFmtId="0" xfId="0" applyAlignment="1" applyBorder="1" applyFont="1">
      <alignment horizontal="left" vertical="center"/>
    </xf>
    <xf borderId="5" fillId="9" fontId="28" numFmtId="0" xfId="0" applyAlignment="1" applyBorder="1" applyFont="1">
      <alignment horizontal="center" vertical="center"/>
    </xf>
    <xf borderId="5" fillId="16" fontId="10" numFmtId="165" xfId="0" applyAlignment="1" applyBorder="1" applyFont="1" applyNumberFormat="1">
      <alignment horizontal="center"/>
    </xf>
    <xf borderId="5" fillId="9" fontId="29" numFmtId="0" xfId="0" applyAlignment="1" applyBorder="1" applyFont="1">
      <alignment horizontal="left" shrinkToFit="0" vertical="center" wrapText="1"/>
    </xf>
    <xf borderId="5" fillId="16" fontId="10" numFmtId="166" xfId="0" applyAlignment="1" applyBorder="1" applyFont="1" applyNumberFormat="1">
      <alignment horizontal="center"/>
    </xf>
    <xf borderId="5" fillId="7" fontId="30" numFmtId="0" xfId="0" applyAlignment="1" applyBorder="1" applyFont="1">
      <alignment horizontal="left" vertical="center"/>
    </xf>
    <xf borderId="5" fillId="7" fontId="31" numFmtId="0" xfId="0" applyAlignment="1" applyBorder="1" applyFont="1">
      <alignment horizontal="center" vertical="center"/>
    </xf>
    <xf borderId="5" fillId="7" fontId="12" numFmtId="164" xfId="0" applyAlignment="1" applyBorder="1" applyFont="1" applyNumberFormat="1">
      <alignment horizontal="center"/>
    </xf>
    <xf borderId="5" fillId="9" fontId="30" numFmtId="0" xfId="0" applyAlignment="1" applyBorder="1" applyFont="1">
      <alignment horizontal="left" vertical="center"/>
    </xf>
    <xf borderId="5" fillId="9" fontId="31" numFmtId="0" xfId="0" applyAlignment="1" applyBorder="1" applyFont="1">
      <alignment horizontal="center" vertical="center"/>
    </xf>
    <xf borderId="36" fillId="8" fontId="6" numFmtId="0" xfId="0" applyAlignment="1" applyBorder="1" applyFont="1">
      <alignment horizontal="center" vertical="center"/>
    </xf>
    <xf borderId="16" fillId="8" fontId="9" numFmtId="0" xfId="0" applyAlignment="1" applyBorder="1" applyFont="1">
      <alignment horizontal="center" vertical="center"/>
    </xf>
    <xf borderId="16" fillId="8" fontId="25" numFmtId="0" xfId="0" applyAlignment="1" applyBorder="1" applyFont="1">
      <alignment horizontal="left" vertical="center"/>
    </xf>
    <xf borderId="16" fillId="8" fontId="9" numFmtId="0" xfId="0" applyAlignment="1" applyBorder="1" applyFont="1">
      <alignment horizontal="left" vertical="center"/>
    </xf>
    <xf borderId="5" fillId="9" fontId="25" numFmtId="0" xfId="0" applyAlignment="1" applyBorder="1" applyFont="1">
      <alignment horizontal="center" vertical="center"/>
    </xf>
    <xf borderId="5" fillId="16" fontId="12" numFmtId="164" xfId="0" applyAlignment="1" applyBorder="1" applyFont="1" applyNumberFormat="1">
      <alignment horizontal="right"/>
    </xf>
    <xf borderId="5" fillId="9" fontId="25" numFmtId="0" xfId="0" applyAlignment="1" applyBorder="1" applyFont="1">
      <alignment horizontal="left" vertical="center"/>
    </xf>
    <xf borderId="5" fillId="9" fontId="17" numFmtId="0" xfId="0" applyAlignment="1" applyBorder="1" applyFont="1">
      <alignment horizontal="left" vertical="center"/>
    </xf>
    <xf borderId="5" fillId="7" fontId="25" numFmtId="0" xfId="0" applyAlignment="1" applyBorder="1" applyFont="1">
      <alignment horizontal="center" vertical="center"/>
    </xf>
    <xf borderId="5" fillId="7" fontId="25" numFmtId="0" xfId="0" applyAlignment="1" applyBorder="1" applyFont="1">
      <alignment horizontal="left" vertical="center"/>
    </xf>
    <xf borderId="5" fillId="7" fontId="17" numFmtId="0" xfId="0" applyAlignment="1" applyBorder="1" applyFont="1">
      <alignment horizontal="left" vertical="center"/>
    </xf>
    <xf borderId="5" fillId="7" fontId="32" numFmtId="0" xfId="0" applyAlignment="1" applyBorder="1" applyFont="1">
      <alignment horizontal="left" vertical="center"/>
    </xf>
    <xf borderId="0" fillId="0" fontId="15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hmalz.com/es/soluciones-de-vacio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0.14"/>
    <col customWidth="1" min="3" max="8" width="17.0"/>
    <col customWidth="1" min="9" max="26" width="8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39.7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4"/>
    </row>
    <row r="3" ht="31.5" customHeight="1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4"/>
    </row>
    <row r="4" ht="24.0" customHeight="1">
      <c r="A4" s="6" t="s">
        <v>2</v>
      </c>
      <c r="B4" s="3"/>
      <c r="C4" s="3"/>
      <c r="D4" s="3"/>
      <c r="E4" s="3"/>
      <c r="F4" s="3"/>
      <c r="G4" s="3"/>
      <c r="H4" s="3"/>
      <c r="I4" s="3"/>
      <c r="J4" s="3"/>
      <c r="K4" s="4"/>
    </row>
    <row r="5" ht="13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ht="21.75" customHeight="1">
      <c r="A6" s="1"/>
      <c r="B6" s="7" t="s">
        <v>3</v>
      </c>
      <c r="C6" s="8" t="s">
        <v>4</v>
      </c>
      <c r="D6" s="9"/>
      <c r="E6" s="9"/>
      <c r="F6" s="9"/>
      <c r="G6" s="9"/>
      <c r="H6" s="9"/>
      <c r="I6" s="9"/>
      <c r="J6" s="10"/>
      <c r="K6" s="1"/>
    </row>
    <row r="7" ht="21.75" customHeight="1">
      <c r="A7" s="1"/>
      <c r="B7" s="7" t="s">
        <v>5</v>
      </c>
      <c r="C7" s="8" t="s">
        <v>6</v>
      </c>
      <c r="D7" s="9"/>
      <c r="E7" s="9"/>
      <c r="F7" s="9"/>
      <c r="G7" s="9"/>
      <c r="H7" s="9"/>
      <c r="I7" s="9"/>
      <c r="J7" s="10"/>
      <c r="K7" s="1"/>
    </row>
    <row r="8" ht="21.75" customHeight="1">
      <c r="A8" s="1"/>
      <c r="B8" s="7" t="s">
        <v>7</v>
      </c>
      <c r="C8" s="8" t="s">
        <v>8</v>
      </c>
      <c r="D8" s="9"/>
      <c r="E8" s="9"/>
      <c r="F8" s="9"/>
      <c r="G8" s="9"/>
      <c r="H8" s="9"/>
      <c r="I8" s="9"/>
      <c r="J8" s="10"/>
      <c r="K8" s="1"/>
    </row>
    <row r="9" ht="21.75" customHeight="1">
      <c r="A9" s="1"/>
      <c r="B9" s="7" t="s">
        <v>9</v>
      </c>
      <c r="C9" s="8" t="s">
        <v>10</v>
      </c>
      <c r="D9" s="9"/>
      <c r="E9" s="9"/>
      <c r="F9" s="9"/>
      <c r="G9" s="9"/>
      <c r="H9" s="9"/>
      <c r="I9" s="9"/>
      <c r="J9" s="10"/>
      <c r="K9" s="1"/>
    </row>
    <row r="10" ht="21.75" customHeight="1">
      <c r="A10" s="1"/>
      <c r="B10" s="7" t="s">
        <v>11</v>
      </c>
      <c r="C10" s="8" t="s">
        <v>12</v>
      </c>
      <c r="D10" s="9"/>
      <c r="E10" s="9"/>
      <c r="F10" s="9"/>
      <c r="G10" s="9"/>
      <c r="H10" s="9"/>
      <c r="I10" s="9"/>
      <c r="J10" s="10"/>
      <c r="K10" s="1"/>
    </row>
    <row r="11" ht="21.75" customHeight="1">
      <c r="A11" s="1"/>
      <c r="B11" s="7" t="s">
        <v>13</v>
      </c>
      <c r="C11" s="8" t="s">
        <v>14</v>
      </c>
      <c r="D11" s="9"/>
      <c r="E11" s="9"/>
      <c r="F11" s="9"/>
      <c r="G11" s="9"/>
      <c r="H11" s="9"/>
      <c r="I11" s="9"/>
      <c r="J11" s="10"/>
      <c r="K11" s="1"/>
    </row>
    <row r="12" ht="21.75" customHeight="1">
      <c r="A12" s="1"/>
      <c r="B12" s="7" t="s">
        <v>15</v>
      </c>
      <c r="C12" s="8" t="s">
        <v>16</v>
      </c>
      <c r="D12" s="9"/>
      <c r="E12" s="9"/>
      <c r="F12" s="9"/>
      <c r="G12" s="9"/>
      <c r="H12" s="9"/>
      <c r="I12" s="9"/>
      <c r="J12" s="10"/>
      <c r="K12" s="1"/>
    </row>
    <row r="13" ht="21.75" customHeight="1">
      <c r="A13" s="1"/>
      <c r="B13" s="7" t="s">
        <v>17</v>
      </c>
      <c r="C13" s="8" t="s">
        <v>18</v>
      </c>
      <c r="D13" s="9"/>
      <c r="E13" s="9"/>
      <c r="F13" s="9"/>
      <c r="G13" s="9"/>
      <c r="H13" s="9"/>
      <c r="I13" s="9"/>
      <c r="J13" s="10"/>
      <c r="K13" s="1"/>
    </row>
    <row r="14" ht="13.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ht="19.5" customHeight="1">
      <c r="A15" s="11" t="s">
        <v>19</v>
      </c>
      <c r="B15" s="12"/>
      <c r="C15" s="12"/>
      <c r="D15" s="12"/>
      <c r="E15" s="12"/>
      <c r="F15" s="12"/>
      <c r="G15" s="12"/>
      <c r="H15" s="12"/>
      <c r="I15" s="12"/>
      <c r="J15" s="12"/>
      <c r="K15" s="13"/>
    </row>
    <row r="16" ht="21.75" customHeight="1">
      <c r="A16" s="1"/>
      <c r="B16" s="14" t="s">
        <v>20</v>
      </c>
      <c r="C16" s="14" t="s">
        <v>21</v>
      </c>
      <c r="D16" s="14" t="s">
        <v>22</v>
      </c>
      <c r="E16" s="14" t="s">
        <v>23</v>
      </c>
      <c r="F16" s="14" t="s">
        <v>24</v>
      </c>
      <c r="G16" s="14" t="s">
        <v>25</v>
      </c>
      <c r="H16" s="14" t="s">
        <v>26</v>
      </c>
      <c r="I16" s="1"/>
      <c r="J16" s="1"/>
      <c r="K16" s="1"/>
    </row>
    <row r="17" ht="27.75" customHeight="1">
      <c r="A17" s="1"/>
      <c r="B17" s="15">
        <f>CAPEX!H53</f>
        <v>1459745906</v>
      </c>
      <c r="C17" s="15">
        <f>OPEX_Beneficios!C11</f>
        <v>106110000</v>
      </c>
      <c r="D17" s="15">
        <f>OPEX_Beneficios!C22</f>
        <v>319492057.6</v>
      </c>
      <c r="E17" s="15">
        <f>OPEX_Beneficios!C23</f>
        <v>213382057.6</v>
      </c>
      <c r="F17" s="15">
        <f>Indicadores!D5</f>
        <v>33495819.36</v>
      </c>
      <c r="G17" s="16">
        <f>Indicadores!D6</f>
        <v>0.1251738132</v>
      </c>
      <c r="H17" s="17">
        <f>Indicadores!D7</f>
        <v>6.840996485</v>
      </c>
      <c r="I17" s="1"/>
      <c r="J17" s="1"/>
      <c r="K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ht="15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ht="15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ht="15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ht="15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ht="15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ht="15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ht="15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ht="15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ht="15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ht="15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ht="15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ht="15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ht="15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ht="15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ht="15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ht="15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ht="15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ht="15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ht="15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ht="15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ht="15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ht="15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ht="15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ht="15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ht="15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ht="15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ht="15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ht="15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2">
    <mergeCell ref="C10:J10"/>
    <mergeCell ref="C11:J11"/>
    <mergeCell ref="C12:J12"/>
    <mergeCell ref="C13:J13"/>
    <mergeCell ref="A15:K15"/>
    <mergeCell ref="A2:K2"/>
    <mergeCell ref="A3:K3"/>
    <mergeCell ref="A4:K4"/>
    <mergeCell ref="C6:J6"/>
    <mergeCell ref="C7:J7"/>
    <mergeCell ref="C8:J8"/>
    <mergeCell ref="C9:J9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3" width="18.0"/>
    <col customWidth="1" min="4" max="4" width="12.0"/>
    <col customWidth="1" min="5" max="5" width="30.0"/>
    <col customWidth="1" min="6" max="26" width="8.71"/>
  </cols>
  <sheetData>
    <row r="1" ht="24.0" customHeight="1">
      <c r="B1" s="18" t="s">
        <v>27</v>
      </c>
      <c r="C1" s="12"/>
      <c r="D1" s="12"/>
      <c r="E1" s="13"/>
    </row>
    <row r="2" ht="14.25" customHeight="1"/>
    <row r="3" ht="18.0" customHeight="1">
      <c r="B3" s="19" t="s">
        <v>28</v>
      </c>
      <c r="C3" s="20"/>
      <c r="D3" s="20"/>
      <c r="E3" s="21"/>
    </row>
    <row r="4" ht="15.75" customHeight="1">
      <c r="B4" s="22" t="s">
        <v>29</v>
      </c>
      <c r="C4" s="22" t="s">
        <v>30</v>
      </c>
      <c r="D4" s="22" t="s">
        <v>31</v>
      </c>
      <c r="E4" s="22" t="s">
        <v>32</v>
      </c>
    </row>
    <row r="5" ht="15.75" customHeight="1">
      <c r="B5" s="23" t="s">
        <v>33</v>
      </c>
      <c r="C5" s="24">
        <v>19800.0</v>
      </c>
      <c r="D5" s="25" t="s">
        <v>34</v>
      </c>
      <c r="E5" s="26" t="s">
        <v>35</v>
      </c>
    </row>
    <row r="6" ht="15.75" customHeight="1">
      <c r="B6" s="27" t="s">
        <v>36</v>
      </c>
      <c r="C6" s="28">
        <v>115184.0</v>
      </c>
      <c r="D6" s="29" t="s">
        <v>34</v>
      </c>
      <c r="E6" s="30" t="s">
        <v>37</v>
      </c>
    </row>
    <row r="7" ht="15.75" customHeight="1">
      <c r="B7" s="23" t="s">
        <v>38</v>
      </c>
      <c r="C7" s="24">
        <v>129550.0</v>
      </c>
      <c r="D7" s="25" t="s">
        <v>34</v>
      </c>
      <c r="E7" s="26" t="s">
        <v>39</v>
      </c>
    </row>
    <row r="8" ht="15.75" customHeight="1">
      <c r="B8" s="27" t="s">
        <v>40</v>
      </c>
      <c r="C8" s="28">
        <v>365.0</v>
      </c>
      <c r="D8" s="29" t="s">
        <v>41</v>
      </c>
      <c r="E8" s="30" t="s">
        <v>42</v>
      </c>
    </row>
    <row r="9" ht="14.25" customHeight="1"/>
    <row r="10" ht="18.0" customHeight="1">
      <c r="B10" s="19" t="s">
        <v>43</v>
      </c>
      <c r="C10" s="20"/>
      <c r="D10" s="20"/>
      <c r="E10" s="21"/>
    </row>
    <row r="11" ht="15.75" customHeight="1">
      <c r="B11" s="22" t="s">
        <v>29</v>
      </c>
      <c r="C11" s="22" t="s">
        <v>30</v>
      </c>
      <c r="D11" s="22" t="s">
        <v>31</v>
      </c>
      <c r="E11" s="22" t="s">
        <v>32</v>
      </c>
    </row>
    <row r="12" ht="15.75" customHeight="1">
      <c r="B12" s="27" t="s">
        <v>44</v>
      </c>
      <c r="C12" s="31">
        <v>3723.05</v>
      </c>
      <c r="D12" s="29" t="s">
        <v>45</v>
      </c>
      <c r="E12" s="30" t="s">
        <v>46</v>
      </c>
    </row>
    <row r="13" ht="15.75" customHeight="1">
      <c r="B13" s="23" t="s">
        <v>47</v>
      </c>
      <c r="C13" s="32">
        <v>0.12</v>
      </c>
      <c r="D13" s="25"/>
      <c r="E13" s="26" t="s">
        <v>48</v>
      </c>
    </row>
    <row r="14" ht="15.75" customHeight="1">
      <c r="B14" s="27" t="s">
        <v>49</v>
      </c>
      <c r="C14" s="33">
        <v>0.05</v>
      </c>
      <c r="D14" s="29"/>
      <c r="E14" s="30" t="s">
        <v>50</v>
      </c>
    </row>
    <row r="15" ht="15.75" customHeight="1">
      <c r="B15" s="23" t="s">
        <v>51</v>
      </c>
      <c r="C15" s="32">
        <v>0.03</v>
      </c>
      <c r="D15" s="25"/>
      <c r="E15" s="26" t="s">
        <v>52</v>
      </c>
    </row>
    <row r="16" ht="14.25" customHeight="1"/>
    <row r="17" ht="18.0" customHeight="1">
      <c r="B17" s="19" t="s">
        <v>53</v>
      </c>
      <c r="C17" s="20"/>
      <c r="D17" s="20"/>
      <c r="E17" s="21"/>
    </row>
    <row r="18" ht="15.75" customHeight="1">
      <c r="B18" s="22" t="s">
        <v>29</v>
      </c>
      <c r="C18" s="22" t="s">
        <v>30</v>
      </c>
      <c r="D18" s="22" t="s">
        <v>31</v>
      </c>
      <c r="E18" s="22" t="s">
        <v>32</v>
      </c>
    </row>
    <row r="19" ht="15.75" customHeight="1">
      <c r="B19" s="23" t="s">
        <v>54</v>
      </c>
      <c r="C19" s="34">
        <v>1750905.0</v>
      </c>
      <c r="D19" s="25" t="s">
        <v>55</v>
      </c>
      <c r="E19" s="26" t="s">
        <v>56</v>
      </c>
    </row>
    <row r="20" ht="15.75" customHeight="1">
      <c r="B20" s="27" t="s">
        <v>57</v>
      </c>
      <c r="C20" s="35">
        <v>1.52</v>
      </c>
      <c r="D20" s="29"/>
      <c r="E20" s="30" t="s">
        <v>58</v>
      </c>
    </row>
    <row r="21" ht="15.75" customHeight="1">
      <c r="B21" s="23" t="s">
        <v>59</v>
      </c>
      <c r="C21" s="36">
        <f>C19*C20</f>
        <v>2661375.6</v>
      </c>
      <c r="D21" s="25" t="s">
        <v>55</v>
      </c>
      <c r="E21" s="26" t="s">
        <v>60</v>
      </c>
    </row>
    <row r="22" ht="15.75" customHeight="1">
      <c r="B22" s="27" t="s">
        <v>61</v>
      </c>
      <c r="C22" s="28">
        <v>10.0</v>
      </c>
      <c r="D22" s="29" t="s">
        <v>62</v>
      </c>
      <c r="E22" s="30" t="s">
        <v>63</v>
      </c>
    </row>
    <row r="23" ht="15.75" customHeight="1">
      <c r="B23" s="23" t="s">
        <v>64</v>
      </c>
      <c r="C23" s="24">
        <v>2.0</v>
      </c>
      <c r="D23" s="25" t="s">
        <v>62</v>
      </c>
      <c r="E23" s="26" t="s">
        <v>65</v>
      </c>
    </row>
    <row r="24" ht="15.75" customHeight="1">
      <c r="B24" s="27" t="s">
        <v>66</v>
      </c>
      <c r="C24" s="37">
        <f>C22-C23</f>
        <v>8</v>
      </c>
      <c r="D24" s="29" t="s">
        <v>62</v>
      </c>
      <c r="E24" s="30"/>
    </row>
    <row r="25" ht="14.25" customHeight="1"/>
    <row r="26" ht="18.0" customHeight="1">
      <c r="B26" s="19" t="s">
        <v>67</v>
      </c>
      <c r="C26" s="20"/>
      <c r="D26" s="20"/>
      <c r="E26" s="21"/>
    </row>
    <row r="27" ht="15.75" customHeight="1">
      <c r="B27" s="22" t="s">
        <v>29</v>
      </c>
      <c r="C27" s="22" t="s">
        <v>30</v>
      </c>
      <c r="D27" s="22" t="s">
        <v>31</v>
      </c>
      <c r="E27" s="22" t="s">
        <v>32</v>
      </c>
    </row>
    <row r="28" ht="15.75" customHeight="1">
      <c r="B28" s="27" t="s">
        <v>68</v>
      </c>
      <c r="C28" s="38">
        <v>3.5</v>
      </c>
      <c r="D28" s="29" t="s">
        <v>69</v>
      </c>
      <c r="E28" s="30" t="s">
        <v>70</v>
      </c>
    </row>
    <row r="29" ht="15.75" customHeight="1">
      <c r="B29" s="23" t="s">
        <v>71</v>
      </c>
      <c r="C29" s="39">
        <v>3.5</v>
      </c>
      <c r="D29" s="25" t="s">
        <v>69</v>
      </c>
      <c r="E29" s="26" t="s">
        <v>72</v>
      </c>
    </row>
    <row r="30" ht="15.75" customHeight="1">
      <c r="B30" s="27" t="s">
        <v>73</v>
      </c>
      <c r="C30" s="38">
        <v>2.5</v>
      </c>
      <c r="D30" s="29" t="s">
        <v>69</v>
      </c>
      <c r="E30" s="30" t="s">
        <v>74</v>
      </c>
    </row>
    <row r="31" ht="15.75" customHeight="1">
      <c r="B31" s="23" t="s">
        <v>75</v>
      </c>
      <c r="C31" s="40">
        <v>20.0</v>
      </c>
      <c r="D31" s="25" t="s">
        <v>76</v>
      </c>
      <c r="E31" s="26" t="s">
        <v>77</v>
      </c>
    </row>
    <row r="32" ht="15.75" customHeight="1">
      <c r="B32" s="27" t="s">
        <v>78</v>
      </c>
      <c r="C32" s="41">
        <v>600.0</v>
      </c>
      <c r="D32" s="29" t="s">
        <v>79</v>
      </c>
      <c r="E32" s="30" t="s">
        <v>80</v>
      </c>
    </row>
    <row r="33" ht="14.25" customHeight="1"/>
    <row r="34" ht="18.0" customHeight="1">
      <c r="B34" s="19" t="s">
        <v>81</v>
      </c>
      <c r="C34" s="20"/>
      <c r="D34" s="20"/>
      <c r="E34" s="21"/>
    </row>
    <row r="35" ht="15.75" customHeight="1">
      <c r="B35" s="22" t="s">
        <v>29</v>
      </c>
      <c r="C35" s="22" t="s">
        <v>30</v>
      </c>
      <c r="D35" s="22" t="s">
        <v>31</v>
      </c>
      <c r="E35" s="22" t="s">
        <v>32</v>
      </c>
    </row>
    <row r="36" ht="15.75" customHeight="1">
      <c r="B36" s="27" t="s">
        <v>82</v>
      </c>
      <c r="C36" s="28">
        <v>6.0</v>
      </c>
      <c r="D36" s="29" t="s">
        <v>83</v>
      </c>
      <c r="E36" s="30" t="s">
        <v>84</v>
      </c>
    </row>
    <row r="37" ht="15.75" customHeight="1">
      <c r="B37" s="23" t="s">
        <v>85</v>
      </c>
      <c r="C37" s="24">
        <v>6.0</v>
      </c>
      <c r="D37" s="25" t="s">
        <v>83</v>
      </c>
      <c r="E37" s="26" t="s">
        <v>86</v>
      </c>
    </row>
    <row r="38" ht="15.75" customHeight="1">
      <c r="B38" s="27" t="s">
        <v>87</v>
      </c>
      <c r="C38" s="28">
        <v>24.0</v>
      </c>
      <c r="D38" s="29" t="s">
        <v>83</v>
      </c>
      <c r="E38" s="30" t="s">
        <v>88</v>
      </c>
    </row>
    <row r="39" ht="15.75" customHeight="1">
      <c r="B39" s="23" t="s">
        <v>89</v>
      </c>
      <c r="C39" s="24">
        <v>8.0</v>
      </c>
      <c r="D39" s="25" t="s">
        <v>90</v>
      </c>
      <c r="E39" s="26"/>
    </row>
    <row r="40" ht="15.75" customHeight="1">
      <c r="B40" s="27" t="s">
        <v>91</v>
      </c>
      <c r="C40" s="28">
        <v>10.0</v>
      </c>
      <c r="D40" s="29" t="s">
        <v>90</v>
      </c>
      <c r="E40" s="30"/>
    </row>
    <row r="41" ht="15.75" customHeight="1">
      <c r="B41" s="23" t="s">
        <v>92</v>
      </c>
      <c r="C41" s="24">
        <v>9.0</v>
      </c>
      <c r="D41" s="25" t="s">
        <v>93</v>
      </c>
      <c r="E41" s="26"/>
    </row>
    <row r="42" ht="15.75" customHeight="1">
      <c r="B42" s="27" t="s">
        <v>94</v>
      </c>
      <c r="C42" s="28">
        <v>12.0</v>
      </c>
      <c r="D42" s="29" t="s">
        <v>93</v>
      </c>
      <c r="E42" s="30"/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B1:E1"/>
    <mergeCell ref="B3:E3"/>
    <mergeCell ref="B10:E10"/>
    <mergeCell ref="B17:E17"/>
    <mergeCell ref="B26:E26"/>
    <mergeCell ref="B34:E34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9.0"/>
    <col customWidth="1" min="3" max="3" width="44.0"/>
    <col customWidth="1" min="4" max="4" width="7.0"/>
    <col customWidth="1" min="5" max="5" width="9.0"/>
    <col customWidth="1" min="6" max="7" width="18.0"/>
    <col customWidth="1" min="8" max="8" width="20.71"/>
    <col customWidth="1" min="9" max="9" width="14.0"/>
    <col customWidth="1" min="10" max="10" width="36.0"/>
    <col customWidth="1" min="11" max="26" width="8.71"/>
  </cols>
  <sheetData>
    <row r="1" ht="25.5" customHeight="1">
      <c r="B1" s="18" t="s">
        <v>95</v>
      </c>
      <c r="C1" s="12"/>
      <c r="D1" s="12"/>
      <c r="E1" s="12"/>
      <c r="F1" s="12"/>
      <c r="G1" s="12"/>
      <c r="H1" s="12"/>
      <c r="I1" s="12"/>
      <c r="J1" s="13"/>
    </row>
    <row r="2" ht="18.0" customHeight="1">
      <c r="B2" s="14" t="s">
        <v>96</v>
      </c>
      <c r="C2" s="14" t="s">
        <v>97</v>
      </c>
      <c r="D2" s="14" t="s">
        <v>98</v>
      </c>
      <c r="E2" s="14" t="s">
        <v>99</v>
      </c>
      <c r="F2" s="14" t="s">
        <v>100</v>
      </c>
      <c r="G2" s="14" t="s">
        <v>101</v>
      </c>
      <c r="H2" s="14" t="s">
        <v>102</v>
      </c>
      <c r="I2" s="14" t="s">
        <v>103</v>
      </c>
      <c r="J2" s="14" t="s">
        <v>104</v>
      </c>
    </row>
    <row r="3" ht="18.0" customHeight="1">
      <c r="B3" s="42" t="s">
        <v>105</v>
      </c>
      <c r="C3" s="43"/>
      <c r="D3" s="43"/>
      <c r="E3" s="43"/>
      <c r="F3" s="43"/>
      <c r="G3" s="43"/>
      <c r="H3" s="43"/>
      <c r="I3" s="43"/>
      <c r="J3" s="44"/>
    </row>
    <row r="4" ht="21.75" customHeight="1">
      <c r="B4" s="45" t="s">
        <v>106</v>
      </c>
      <c r="C4" s="46" t="s">
        <v>107</v>
      </c>
      <c r="D4" s="47">
        <v>2.0</v>
      </c>
      <c r="E4" s="48" t="s">
        <v>108</v>
      </c>
      <c r="F4" s="49">
        <v>2.30829E8</v>
      </c>
      <c r="G4" s="50">
        <f t="shared" ref="G4:G5" si="1">ROUND(F4*0.1,0)</f>
        <v>23082900</v>
      </c>
      <c r="H4" s="51">
        <f t="shared" ref="H4:H5" si="2">D4*(F4+G4)</f>
        <v>507823800</v>
      </c>
      <c r="I4" s="52" t="s">
        <v>109</v>
      </c>
      <c r="J4" s="53" t="s">
        <v>110</v>
      </c>
    </row>
    <row r="5" ht="21.75" customHeight="1">
      <c r="B5" s="54" t="s">
        <v>111</v>
      </c>
      <c r="C5" s="55" t="s">
        <v>112</v>
      </c>
      <c r="D5" s="56">
        <v>2.0</v>
      </c>
      <c r="E5" s="57" t="s">
        <v>108</v>
      </c>
      <c r="F5" s="58">
        <v>4.6538E7</v>
      </c>
      <c r="G5" s="59">
        <f t="shared" si="1"/>
        <v>4653800</v>
      </c>
      <c r="H5" s="60">
        <f t="shared" si="2"/>
        <v>102383600</v>
      </c>
      <c r="I5" s="61" t="s">
        <v>113</v>
      </c>
      <c r="J5" s="62" t="s">
        <v>114</v>
      </c>
    </row>
    <row r="6" ht="18.0" customHeight="1">
      <c r="B6" s="63" t="s">
        <v>115</v>
      </c>
      <c r="C6" s="64"/>
      <c r="D6" s="64"/>
      <c r="E6" s="64"/>
      <c r="F6" s="64"/>
      <c r="G6" s="64"/>
      <c r="H6" s="64"/>
      <c r="I6" s="64"/>
      <c r="J6" s="65"/>
    </row>
    <row r="7" ht="15.0" customHeight="1">
      <c r="B7" s="66" t="s">
        <v>116</v>
      </c>
      <c r="C7" s="67"/>
      <c r="D7" s="67"/>
      <c r="E7" s="67"/>
      <c r="F7" s="67"/>
      <c r="G7" s="67"/>
      <c r="H7" s="67"/>
      <c r="I7" s="67"/>
      <c r="J7" s="68"/>
    </row>
    <row r="8" ht="21.75" customHeight="1">
      <c r="B8" s="45" t="s">
        <v>117</v>
      </c>
      <c r="C8" s="46" t="s">
        <v>118</v>
      </c>
      <c r="D8" s="47">
        <v>1.0</v>
      </c>
      <c r="E8" s="48" t="s">
        <v>108</v>
      </c>
      <c r="F8" s="49">
        <v>3.3507E7</v>
      </c>
      <c r="G8" s="50">
        <f t="shared" ref="G8:G12" si="3">ROUND(F8*0.1,0)</f>
        <v>3350700</v>
      </c>
      <c r="H8" s="51">
        <f t="shared" ref="H8:H12" si="4">D8*(F8+G8)</f>
        <v>36857700</v>
      </c>
      <c r="I8" s="52" t="s">
        <v>119</v>
      </c>
      <c r="J8" s="53" t="s">
        <v>120</v>
      </c>
    </row>
    <row r="9" ht="21.75" customHeight="1">
      <c r="B9" s="54" t="s">
        <v>121</v>
      </c>
      <c r="C9" s="55" t="s">
        <v>122</v>
      </c>
      <c r="D9" s="56">
        <v>1.0</v>
      </c>
      <c r="E9" s="57" t="s">
        <v>108</v>
      </c>
      <c r="F9" s="58">
        <v>6701000.0</v>
      </c>
      <c r="G9" s="59">
        <f t="shared" si="3"/>
        <v>670100</v>
      </c>
      <c r="H9" s="60">
        <f t="shared" si="4"/>
        <v>7371100</v>
      </c>
      <c r="I9" s="61" t="s">
        <v>123</v>
      </c>
      <c r="J9" s="62" t="s">
        <v>124</v>
      </c>
    </row>
    <row r="10" ht="21.75" customHeight="1">
      <c r="B10" s="45" t="s">
        <v>125</v>
      </c>
      <c r="C10" s="46" t="s">
        <v>126</v>
      </c>
      <c r="D10" s="47">
        <v>2.0</v>
      </c>
      <c r="E10" s="48" t="s">
        <v>108</v>
      </c>
      <c r="F10" s="49">
        <v>2234000.0</v>
      </c>
      <c r="G10" s="50">
        <f t="shared" si="3"/>
        <v>223400</v>
      </c>
      <c r="H10" s="51">
        <f t="shared" si="4"/>
        <v>4914800</v>
      </c>
      <c r="I10" s="52" t="s">
        <v>127</v>
      </c>
      <c r="J10" s="53" t="s">
        <v>124</v>
      </c>
    </row>
    <row r="11" ht="21.75" customHeight="1">
      <c r="B11" s="54" t="s">
        <v>128</v>
      </c>
      <c r="C11" s="55" t="s">
        <v>129</v>
      </c>
      <c r="D11" s="56">
        <v>1.0</v>
      </c>
      <c r="E11" s="57" t="s">
        <v>130</v>
      </c>
      <c r="F11" s="58">
        <v>4468000.0</v>
      </c>
      <c r="G11" s="59">
        <f t="shared" si="3"/>
        <v>446800</v>
      </c>
      <c r="H11" s="60">
        <f t="shared" si="4"/>
        <v>4914800</v>
      </c>
      <c r="I11" s="61" t="s">
        <v>131</v>
      </c>
      <c r="J11" s="62" t="s">
        <v>124</v>
      </c>
    </row>
    <row r="12" ht="21.75" customHeight="1">
      <c r="B12" s="45" t="s">
        <v>132</v>
      </c>
      <c r="C12" s="46" t="s">
        <v>133</v>
      </c>
      <c r="D12" s="47">
        <v>2.0</v>
      </c>
      <c r="E12" s="48" t="s">
        <v>108</v>
      </c>
      <c r="F12" s="49">
        <v>1489000.0</v>
      </c>
      <c r="G12" s="50">
        <f t="shared" si="3"/>
        <v>148900</v>
      </c>
      <c r="H12" s="51">
        <f t="shared" si="4"/>
        <v>3275800</v>
      </c>
      <c r="I12" s="52" t="s">
        <v>134</v>
      </c>
      <c r="J12" s="53" t="s">
        <v>124</v>
      </c>
    </row>
    <row r="13" ht="15.0" customHeight="1">
      <c r="B13" s="69" t="s">
        <v>135</v>
      </c>
      <c r="C13" s="70"/>
      <c r="D13" s="70"/>
      <c r="E13" s="70"/>
      <c r="F13" s="70"/>
      <c r="G13" s="70"/>
      <c r="H13" s="70"/>
      <c r="I13" s="70"/>
      <c r="J13" s="71"/>
    </row>
    <row r="14" ht="21.75" customHeight="1">
      <c r="B14" s="45" t="s">
        <v>136</v>
      </c>
      <c r="C14" s="46" t="s">
        <v>137</v>
      </c>
      <c r="D14" s="47">
        <v>1.0</v>
      </c>
      <c r="E14" s="48" t="s">
        <v>108</v>
      </c>
      <c r="F14" s="49">
        <v>2.42E7</v>
      </c>
      <c r="G14" s="50">
        <f t="shared" ref="G14:G19" si="5">ROUND(F14*0.1,0)</f>
        <v>2420000</v>
      </c>
      <c r="H14" s="51">
        <f t="shared" ref="H14:H19" si="6">D14*(F14+G14)</f>
        <v>26620000</v>
      </c>
      <c r="I14" s="52" t="s">
        <v>138</v>
      </c>
      <c r="J14" s="72" t="s">
        <v>139</v>
      </c>
    </row>
    <row r="15" ht="21.75" customHeight="1">
      <c r="B15" s="54" t="s">
        <v>140</v>
      </c>
      <c r="C15" s="55" t="s">
        <v>141</v>
      </c>
      <c r="D15" s="56">
        <v>2.0</v>
      </c>
      <c r="E15" s="57" t="s">
        <v>108</v>
      </c>
      <c r="F15" s="58">
        <v>3351000.0</v>
      </c>
      <c r="G15" s="59">
        <f t="shared" si="5"/>
        <v>335100</v>
      </c>
      <c r="H15" s="60">
        <f t="shared" si="6"/>
        <v>7372200</v>
      </c>
      <c r="I15" s="61" t="s">
        <v>142</v>
      </c>
      <c r="J15" s="62" t="s">
        <v>143</v>
      </c>
    </row>
    <row r="16" ht="21.75" customHeight="1">
      <c r="B16" s="45" t="s">
        <v>144</v>
      </c>
      <c r="C16" s="46" t="s">
        <v>145</v>
      </c>
      <c r="D16" s="47">
        <v>1.0</v>
      </c>
      <c r="E16" s="48" t="s">
        <v>108</v>
      </c>
      <c r="F16" s="49">
        <v>4468000.0</v>
      </c>
      <c r="G16" s="50">
        <f t="shared" si="5"/>
        <v>446800</v>
      </c>
      <c r="H16" s="51">
        <f t="shared" si="6"/>
        <v>4914800</v>
      </c>
      <c r="I16" s="52" t="s">
        <v>131</v>
      </c>
      <c r="J16" s="53" t="s">
        <v>124</v>
      </c>
    </row>
    <row r="17" ht="21.75" customHeight="1">
      <c r="B17" s="54" t="s">
        <v>146</v>
      </c>
      <c r="C17" s="55" t="s">
        <v>147</v>
      </c>
      <c r="D17" s="56">
        <v>4.0</v>
      </c>
      <c r="E17" s="57" t="s">
        <v>108</v>
      </c>
      <c r="F17" s="58">
        <v>1303000.0</v>
      </c>
      <c r="G17" s="59">
        <f t="shared" si="5"/>
        <v>130300</v>
      </c>
      <c r="H17" s="60">
        <f t="shared" si="6"/>
        <v>5733200</v>
      </c>
      <c r="I17" s="61" t="s">
        <v>148</v>
      </c>
      <c r="J17" s="62" t="s">
        <v>143</v>
      </c>
    </row>
    <row r="18" ht="21.75" customHeight="1">
      <c r="B18" s="45" t="s">
        <v>149</v>
      </c>
      <c r="C18" s="46" t="s">
        <v>150</v>
      </c>
      <c r="D18" s="47">
        <v>2.0</v>
      </c>
      <c r="E18" s="48" t="s">
        <v>108</v>
      </c>
      <c r="F18" s="49">
        <v>1862000.0</v>
      </c>
      <c r="G18" s="50">
        <f t="shared" si="5"/>
        <v>186200</v>
      </c>
      <c r="H18" s="51">
        <f t="shared" si="6"/>
        <v>4096400</v>
      </c>
      <c r="I18" s="52" t="s">
        <v>151</v>
      </c>
      <c r="J18" s="53" t="s">
        <v>143</v>
      </c>
    </row>
    <row r="19" ht="21.75" customHeight="1">
      <c r="B19" s="54" t="s">
        <v>152</v>
      </c>
      <c r="C19" s="55" t="s">
        <v>153</v>
      </c>
      <c r="D19" s="56">
        <v>1.0</v>
      </c>
      <c r="E19" s="57" t="s">
        <v>130</v>
      </c>
      <c r="F19" s="58">
        <v>2978000.0</v>
      </c>
      <c r="G19" s="59">
        <f t="shared" si="5"/>
        <v>297800</v>
      </c>
      <c r="H19" s="60">
        <f t="shared" si="6"/>
        <v>3275800</v>
      </c>
      <c r="I19" s="61" t="s">
        <v>154</v>
      </c>
      <c r="J19" s="62" t="s">
        <v>124</v>
      </c>
    </row>
    <row r="20" ht="18.0" customHeight="1">
      <c r="B20" s="73" t="s">
        <v>155</v>
      </c>
      <c r="C20" s="20"/>
      <c r="D20" s="20"/>
      <c r="E20" s="20"/>
      <c r="F20" s="20"/>
      <c r="G20" s="20"/>
      <c r="H20" s="20"/>
      <c r="I20" s="20"/>
      <c r="J20" s="21"/>
    </row>
    <row r="21" ht="21.75" customHeight="1">
      <c r="B21" s="54" t="s">
        <v>156</v>
      </c>
      <c r="C21" s="55" t="s">
        <v>157</v>
      </c>
      <c r="D21" s="56">
        <v>2.0</v>
      </c>
      <c r="E21" s="57" t="s">
        <v>108</v>
      </c>
      <c r="F21" s="58">
        <v>2.97844E7</v>
      </c>
      <c r="G21" s="59">
        <f t="shared" ref="G21:G32" si="7">ROUND(F21*0.1,0)</f>
        <v>2978440</v>
      </c>
      <c r="H21" s="60">
        <f t="shared" ref="H21:H32" si="8">D21*(F21+G21)</f>
        <v>65525680</v>
      </c>
      <c r="I21" s="61" t="s">
        <v>158</v>
      </c>
      <c r="J21" s="62" t="s">
        <v>159</v>
      </c>
    </row>
    <row r="22" ht="21.75" customHeight="1">
      <c r="B22" s="45" t="s">
        <v>160</v>
      </c>
      <c r="C22" s="46" t="s">
        <v>161</v>
      </c>
      <c r="D22" s="47">
        <v>2.0</v>
      </c>
      <c r="E22" s="48" t="s">
        <v>108</v>
      </c>
      <c r="F22" s="49">
        <v>2047700.0</v>
      </c>
      <c r="G22" s="50">
        <f t="shared" si="7"/>
        <v>204770</v>
      </c>
      <c r="H22" s="51">
        <f t="shared" si="8"/>
        <v>4504940</v>
      </c>
      <c r="I22" s="52" t="s">
        <v>162</v>
      </c>
      <c r="J22" s="53" t="s">
        <v>163</v>
      </c>
    </row>
    <row r="23" ht="21.75" customHeight="1">
      <c r="B23" s="54" t="s">
        <v>164</v>
      </c>
      <c r="C23" s="55" t="s">
        <v>165</v>
      </c>
      <c r="D23" s="56">
        <v>4.0</v>
      </c>
      <c r="E23" s="57" t="s">
        <v>108</v>
      </c>
      <c r="F23" s="58">
        <v>1563700.0</v>
      </c>
      <c r="G23" s="59">
        <f t="shared" si="7"/>
        <v>156370</v>
      </c>
      <c r="H23" s="60">
        <f t="shared" si="8"/>
        <v>6880280</v>
      </c>
      <c r="I23" s="61" t="s">
        <v>166</v>
      </c>
      <c r="J23" s="62" t="s">
        <v>167</v>
      </c>
    </row>
    <row r="24" ht="21.75" customHeight="1">
      <c r="B24" s="45" t="s">
        <v>168</v>
      </c>
      <c r="C24" s="46" t="s">
        <v>169</v>
      </c>
      <c r="D24" s="47">
        <v>4.0</v>
      </c>
      <c r="E24" s="48" t="s">
        <v>108</v>
      </c>
      <c r="F24" s="49">
        <v>1563700.0</v>
      </c>
      <c r="G24" s="50">
        <f t="shared" si="7"/>
        <v>156370</v>
      </c>
      <c r="H24" s="51">
        <f t="shared" si="8"/>
        <v>6880280</v>
      </c>
      <c r="I24" s="52" t="s">
        <v>166</v>
      </c>
      <c r="J24" s="53" t="s">
        <v>167</v>
      </c>
    </row>
    <row r="25" ht="21.75" customHeight="1">
      <c r="B25" s="54" t="s">
        <v>170</v>
      </c>
      <c r="C25" s="55" t="s">
        <v>171</v>
      </c>
      <c r="D25" s="56">
        <v>2.0</v>
      </c>
      <c r="E25" s="57" t="s">
        <v>108</v>
      </c>
      <c r="F25" s="58">
        <v>2420000.0</v>
      </c>
      <c r="G25" s="59">
        <f t="shared" si="7"/>
        <v>242000</v>
      </c>
      <c r="H25" s="60">
        <f t="shared" si="8"/>
        <v>5324000</v>
      </c>
      <c r="I25" s="61" t="s">
        <v>172</v>
      </c>
      <c r="J25" s="62" t="s">
        <v>167</v>
      </c>
    </row>
    <row r="26" ht="21.75" customHeight="1">
      <c r="B26" s="45" t="s">
        <v>173</v>
      </c>
      <c r="C26" s="46" t="s">
        <v>174</v>
      </c>
      <c r="D26" s="47">
        <v>2.0</v>
      </c>
      <c r="E26" s="48" t="s">
        <v>108</v>
      </c>
      <c r="F26" s="49">
        <v>1.30307E7</v>
      </c>
      <c r="G26" s="50">
        <f t="shared" si="7"/>
        <v>1303070</v>
      </c>
      <c r="H26" s="51">
        <f t="shared" si="8"/>
        <v>28667540</v>
      </c>
      <c r="I26" s="52" t="s">
        <v>175</v>
      </c>
      <c r="J26" s="53" t="s">
        <v>176</v>
      </c>
    </row>
    <row r="27" ht="21.75" customHeight="1">
      <c r="B27" s="54" t="s">
        <v>177</v>
      </c>
      <c r="C27" s="55" t="s">
        <v>178</v>
      </c>
      <c r="D27" s="56">
        <v>2.0</v>
      </c>
      <c r="E27" s="57" t="s">
        <v>108</v>
      </c>
      <c r="F27" s="58">
        <v>3350700.0</v>
      </c>
      <c r="G27" s="59">
        <f t="shared" si="7"/>
        <v>335070</v>
      </c>
      <c r="H27" s="60">
        <f t="shared" si="8"/>
        <v>7371540</v>
      </c>
      <c r="I27" s="61" t="s">
        <v>179</v>
      </c>
      <c r="J27" s="62" t="s">
        <v>180</v>
      </c>
    </row>
    <row r="28" ht="21.75" customHeight="1">
      <c r="B28" s="45" t="s">
        <v>181</v>
      </c>
      <c r="C28" s="46" t="s">
        <v>182</v>
      </c>
      <c r="D28" s="47">
        <v>2.0</v>
      </c>
      <c r="E28" s="48" t="s">
        <v>108</v>
      </c>
      <c r="F28" s="49">
        <v>1303100.0</v>
      </c>
      <c r="G28" s="50">
        <f t="shared" si="7"/>
        <v>130310</v>
      </c>
      <c r="H28" s="51">
        <f t="shared" si="8"/>
        <v>2866820</v>
      </c>
      <c r="I28" s="52" t="s">
        <v>183</v>
      </c>
      <c r="J28" s="53" t="s">
        <v>184</v>
      </c>
    </row>
    <row r="29" ht="21.75" customHeight="1">
      <c r="B29" s="54" t="s">
        <v>185</v>
      </c>
      <c r="C29" s="55" t="s">
        <v>186</v>
      </c>
      <c r="D29" s="56">
        <v>8.0</v>
      </c>
      <c r="E29" s="57" t="s">
        <v>108</v>
      </c>
      <c r="F29" s="58">
        <v>223400.0</v>
      </c>
      <c r="G29" s="59">
        <f t="shared" si="7"/>
        <v>22340</v>
      </c>
      <c r="H29" s="60">
        <f t="shared" si="8"/>
        <v>1965920</v>
      </c>
      <c r="I29" s="61" t="s">
        <v>187</v>
      </c>
      <c r="J29" s="62" t="s">
        <v>188</v>
      </c>
    </row>
    <row r="30" ht="21.75" customHeight="1">
      <c r="B30" s="45" t="s">
        <v>189</v>
      </c>
      <c r="C30" s="46" t="s">
        <v>190</v>
      </c>
      <c r="D30" s="47">
        <v>2.0</v>
      </c>
      <c r="E30" s="48" t="s">
        <v>108</v>
      </c>
      <c r="F30" s="49">
        <v>1.04245E7</v>
      </c>
      <c r="G30" s="50">
        <f t="shared" si="7"/>
        <v>1042450</v>
      </c>
      <c r="H30" s="51">
        <f t="shared" si="8"/>
        <v>22933900</v>
      </c>
      <c r="I30" s="52" t="s">
        <v>191</v>
      </c>
      <c r="J30" s="53" t="s">
        <v>192</v>
      </c>
    </row>
    <row r="31" ht="21.75" customHeight="1">
      <c r="B31" s="54" t="s">
        <v>193</v>
      </c>
      <c r="C31" s="55" t="s">
        <v>194</v>
      </c>
      <c r="D31" s="56">
        <v>1.0</v>
      </c>
      <c r="E31" s="57" t="s">
        <v>130</v>
      </c>
      <c r="F31" s="58">
        <v>5584600.0</v>
      </c>
      <c r="G31" s="59">
        <f t="shared" si="7"/>
        <v>558460</v>
      </c>
      <c r="H31" s="60">
        <f t="shared" si="8"/>
        <v>6143060</v>
      </c>
      <c r="I31" s="61" t="s">
        <v>195</v>
      </c>
      <c r="J31" s="62" t="s">
        <v>196</v>
      </c>
    </row>
    <row r="32" ht="21.75" customHeight="1">
      <c r="B32" s="45" t="s">
        <v>197</v>
      </c>
      <c r="C32" s="46" t="s">
        <v>198</v>
      </c>
      <c r="D32" s="47">
        <v>1.0</v>
      </c>
      <c r="E32" s="48" t="s">
        <v>130</v>
      </c>
      <c r="F32" s="49">
        <v>1.67537E7</v>
      </c>
      <c r="G32" s="50">
        <f t="shared" si="7"/>
        <v>1675370</v>
      </c>
      <c r="H32" s="51">
        <f t="shared" si="8"/>
        <v>18429070</v>
      </c>
      <c r="I32" s="52" t="s">
        <v>199</v>
      </c>
      <c r="J32" s="53" t="s">
        <v>200</v>
      </c>
    </row>
    <row r="33" ht="18.0" customHeight="1">
      <c r="B33" s="74" t="s">
        <v>201</v>
      </c>
      <c r="C33" s="75"/>
      <c r="D33" s="75"/>
      <c r="E33" s="75"/>
      <c r="F33" s="75"/>
      <c r="G33" s="75"/>
      <c r="H33" s="75"/>
      <c r="I33" s="75"/>
      <c r="J33" s="76"/>
    </row>
    <row r="34" ht="21.75" customHeight="1">
      <c r="B34" s="45" t="s">
        <v>202</v>
      </c>
      <c r="C34" s="46" t="s">
        <v>203</v>
      </c>
      <c r="D34" s="47">
        <v>1.0</v>
      </c>
      <c r="E34" s="48" t="s">
        <v>204</v>
      </c>
      <c r="F34" s="49">
        <v>3.723E7</v>
      </c>
      <c r="G34" s="50">
        <f t="shared" ref="G34:G39" si="9">ROUND(F34*0.1,0)</f>
        <v>3723000</v>
      </c>
      <c r="H34" s="51">
        <f t="shared" ref="H34:H39" si="10">D34*(F34+G34)</f>
        <v>40953000</v>
      </c>
      <c r="I34" s="52" t="s">
        <v>205</v>
      </c>
      <c r="J34" s="53" t="s">
        <v>206</v>
      </c>
    </row>
    <row r="35" ht="21.75" customHeight="1">
      <c r="B35" s="54" t="s">
        <v>207</v>
      </c>
      <c r="C35" s="55" t="s">
        <v>208</v>
      </c>
      <c r="D35" s="56">
        <v>1.0</v>
      </c>
      <c r="E35" s="57" t="s">
        <v>204</v>
      </c>
      <c r="F35" s="58">
        <v>2.9784E7</v>
      </c>
      <c r="G35" s="59">
        <f t="shared" si="9"/>
        <v>2978400</v>
      </c>
      <c r="H35" s="60">
        <f t="shared" si="10"/>
        <v>32762400</v>
      </c>
      <c r="I35" s="61" t="s">
        <v>158</v>
      </c>
      <c r="J35" s="62" t="s">
        <v>206</v>
      </c>
    </row>
    <row r="36" ht="21.75" customHeight="1">
      <c r="B36" s="45" t="s">
        <v>209</v>
      </c>
      <c r="C36" s="46" t="s">
        <v>210</v>
      </c>
      <c r="D36" s="47">
        <v>2.0</v>
      </c>
      <c r="E36" s="48" t="s">
        <v>108</v>
      </c>
      <c r="F36" s="49">
        <v>1.3031E7</v>
      </c>
      <c r="G36" s="50">
        <f t="shared" si="9"/>
        <v>1303100</v>
      </c>
      <c r="H36" s="51">
        <f t="shared" si="10"/>
        <v>28668200</v>
      </c>
      <c r="I36" s="52" t="s">
        <v>211</v>
      </c>
      <c r="J36" s="53" t="s">
        <v>212</v>
      </c>
    </row>
    <row r="37" ht="21.75" customHeight="1">
      <c r="B37" s="54" t="s">
        <v>213</v>
      </c>
      <c r="C37" s="55" t="s">
        <v>214</v>
      </c>
      <c r="D37" s="56">
        <v>2.0</v>
      </c>
      <c r="E37" s="57" t="s">
        <v>204</v>
      </c>
      <c r="F37" s="58">
        <v>1.6754E7</v>
      </c>
      <c r="G37" s="59">
        <f t="shared" si="9"/>
        <v>1675400</v>
      </c>
      <c r="H37" s="60">
        <f t="shared" si="10"/>
        <v>36858800</v>
      </c>
      <c r="I37" s="61" t="s">
        <v>215</v>
      </c>
      <c r="J37" s="62" t="s">
        <v>216</v>
      </c>
    </row>
    <row r="38" ht="21.75" customHeight="1">
      <c r="B38" s="45" t="s">
        <v>217</v>
      </c>
      <c r="C38" s="46" t="s">
        <v>218</v>
      </c>
      <c r="D38" s="47">
        <v>2.0</v>
      </c>
      <c r="E38" s="48" t="s">
        <v>108</v>
      </c>
      <c r="F38" s="49">
        <v>1117000.0</v>
      </c>
      <c r="G38" s="50">
        <f t="shared" si="9"/>
        <v>111700</v>
      </c>
      <c r="H38" s="51">
        <f t="shared" si="10"/>
        <v>2457400</v>
      </c>
      <c r="I38" s="52" t="s">
        <v>219</v>
      </c>
      <c r="J38" s="53" t="s">
        <v>220</v>
      </c>
    </row>
    <row r="39" ht="21.75" customHeight="1">
      <c r="B39" s="54" t="s">
        <v>221</v>
      </c>
      <c r="C39" s="55" t="s">
        <v>222</v>
      </c>
      <c r="D39" s="56">
        <v>6.0</v>
      </c>
      <c r="E39" s="57" t="s">
        <v>108</v>
      </c>
      <c r="F39" s="58">
        <v>1042000.0</v>
      </c>
      <c r="G39" s="59">
        <f t="shared" si="9"/>
        <v>104200</v>
      </c>
      <c r="H39" s="60">
        <f t="shared" si="10"/>
        <v>6877200</v>
      </c>
      <c r="I39" s="61" t="s">
        <v>223</v>
      </c>
      <c r="J39" s="62" t="s">
        <v>224</v>
      </c>
    </row>
    <row r="40" ht="18.0" customHeight="1">
      <c r="B40" s="77" t="s">
        <v>225</v>
      </c>
      <c r="C40" s="78"/>
      <c r="D40" s="78"/>
      <c r="E40" s="78"/>
      <c r="F40" s="78"/>
      <c r="G40" s="78"/>
      <c r="H40" s="78"/>
      <c r="I40" s="78"/>
      <c r="J40" s="79"/>
    </row>
    <row r="41" ht="21.75" customHeight="1">
      <c r="B41" s="54" t="s">
        <v>226</v>
      </c>
      <c r="C41" s="55" t="s">
        <v>227</v>
      </c>
      <c r="D41" s="56">
        <v>1.0</v>
      </c>
      <c r="E41" s="57" t="s">
        <v>228</v>
      </c>
      <c r="F41" s="58">
        <v>1.8E7</v>
      </c>
      <c r="G41" s="59">
        <v>0.0</v>
      </c>
      <c r="H41" s="60">
        <f t="shared" ref="H41:H47" si="11">D41*(F41+G41)</f>
        <v>18000000</v>
      </c>
      <c r="I41" s="61" t="s">
        <v>229</v>
      </c>
      <c r="J41" s="62" t="s">
        <v>230</v>
      </c>
    </row>
    <row r="42" ht="21.75" customHeight="1">
      <c r="B42" s="45" t="s">
        <v>231</v>
      </c>
      <c r="C42" s="46" t="s">
        <v>232</v>
      </c>
      <c r="D42" s="47">
        <v>1.0</v>
      </c>
      <c r="E42" s="48" t="s">
        <v>228</v>
      </c>
      <c r="F42" s="49">
        <v>9308000.0</v>
      </c>
      <c r="G42" s="50">
        <v>0.0</v>
      </c>
      <c r="H42" s="51">
        <f t="shared" si="11"/>
        <v>9308000</v>
      </c>
      <c r="I42" s="52" t="s">
        <v>233</v>
      </c>
      <c r="J42" s="53" t="s">
        <v>234</v>
      </c>
    </row>
    <row r="43" ht="21.75" customHeight="1">
      <c r="B43" s="54" t="s">
        <v>235</v>
      </c>
      <c r="C43" s="55" t="s">
        <v>236</v>
      </c>
      <c r="D43" s="56">
        <v>1.0</v>
      </c>
      <c r="E43" s="57" t="s">
        <v>130</v>
      </c>
      <c r="F43" s="58">
        <v>2.2338E7</v>
      </c>
      <c r="G43" s="59">
        <v>0.0</v>
      </c>
      <c r="H43" s="60">
        <f t="shared" si="11"/>
        <v>22338000</v>
      </c>
      <c r="I43" s="61" t="s">
        <v>237</v>
      </c>
      <c r="J43" s="62" t="s">
        <v>238</v>
      </c>
    </row>
    <row r="44" ht="21.75" customHeight="1">
      <c r="B44" s="45" t="s">
        <v>239</v>
      </c>
      <c r="C44" s="46" t="s">
        <v>240</v>
      </c>
      <c r="D44" s="47">
        <v>1.0</v>
      </c>
      <c r="E44" s="48" t="s">
        <v>130</v>
      </c>
      <c r="F44" s="49">
        <v>3.1646E7</v>
      </c>
      <c r="G44" s="50">
        <v>0.0</v>
      </c>
      <c r="H44" s="51">
        <f t="shared" si="11"/>
        <v>31646000</v>
      </c>
      <c r="I44" s="52" t="s">
        <v>241</v>
      </c>
      <c r="J44" s="53" t="s">
        <v>242</v>
      </c>
    </row>
    <row r="45" ht="21.75" customHeight="1">
      <c r="B45" s="54" t="s">
        <v>243</v>
      </c>
      <c r="C45" s="55" t="s">
        <v>244</v>
      </c>
      <c r="D45" s="56">
        <v>1.0</v>
      </c>
      <c r="E45" s="57" t="s">
        <v>130</v>
      </c>
      <c r="F45" s="58">
        <v>2.0477E7</v>
      </c>
      <c r="G45" s="59">
        <v>0.0</v>
      </c>
      <c r="H45" s="60">
        <f t="shared" si="11"/>
        <v>20477000</v>
      </c>
      <c r="I45" s="61" t="s">
        <v>245</v>
      </c>
      <c r="J45" s="62" t="s">
        <v>246</v>
      </c>
    </row>
    <row r="46" ht="21.75" customHeight="1">
      <c r="B46" s="45" t="s">
        <v>247</v>
      </c>
      <c r="C46" s="46" t="s">
        <v>248</v>
      </c>
      <c r="D46" s="47">
        <v>1.0</v>
      </c>
      <c r="E46" s="48" t="s">
        <v>130</v>
      </c>
      <c r="F46" s="49">
        <v>3000000.0</v>
      </c>
      <c r="G46" s="50">
        <v>0.0</v>
      </c>
      <c r="H46" s="51">
        <f t="shared" si="11"/>
        <v>3000000</v>
      </c>
      <c r="I46" s="52" t="s">
        <v>249</v>
      </c>
      <c r="J46" s="53" t="s">
        <v>250</v>
      </c>
    </row>
    <row r="47" ht="21.75" customHeight="1">
      <c r="B47" s="54" t="s">
        <v>251</v>
      </c>
      <c r="C47" s="55" t="s">
        <v>252</v>
      </c>
      <c r="D47" s="56">
        <v>1.0</v>
      </c>
      <c r="E47" s="57" t="s">
        <v>130</v>
      </c>
      <c r="F47" s="58">
        <v>1.7871E7</v>
      </c>
      <c r="G47" s="59">
        <v>0.0</v>
      </c>
      <c r="H47" s="60">
        <f t="shared" si="11"/>
        <v>17871000</v>
      </c>
      <c r="I47" s="61" t="s">
        <v>253</v>
      </c>
      <c r="J47" s="62" t="s">
        <v>254</v>
      </c>
    </row>
    <row r="48" ht="18.0" customHeight="1">
      <c r="B48" s="80" t="s">
        <v>255</v>
      </c>
      <c r="C48" s="81"/>
      <c r="D48" s="81"/>
      <c r="E48" s="81"/>
      <c r="F48" s="81"/>
      <c r="G48" s="81"/>
      <c r="H48" s="81"/>
      <c r="I48" s="81"/>
      <c r="J48" s="82"/>
    </row>
    <row r="49" ht="24.0" customHeight="1">
      <c r="B49" s="83" t="s">
        <v>256</v>
      </c>
      <c r="C49" s="84" t="s">
        <v>257</v>
      </c>
      <c r="D49" s="85">
        <v>1.0</v>
      </c>
      <c r="E49" s="85" t="s">
        <v>130</v>
      </c>
      <c r="F49" s="86"/>
      <c r="G49" s="86"/>
      <c r="H49" s="87">
        <f>ROUND((H4+H5+H8+H9+H10+H11+H12+H14+H15+H16+H17+H18+H19+H21+H22+H23+H24+H25+H26+H27+H28+H29+H30+H31+H32+H34+H35+H36+H37+H38+H39+H41+H42+H43+H44+H45+H46+H47)*0.05,0)</f>
        <v>58413202</v>
      </c>
      <c r="I49" s="86"/>
      <c r="J49" s="86"/>
    </row>
    <row r="50" ht="14.25" customHeight="1"/>
    <row r="51" ht="21.75" customHeight="1">
      <c r="B51" s="88" t="s">
        <v>258</v>
      </c>
      <c r="C51" s="12"/>
      <c r="D51" s="12"/>
      <c r="E51" s="12"/>
      <c r="F51" s="12"/>
      <c r="G51" s="13"/>
      <c r="H51" s="89">
        <f>H4+H5+H8+H9+H10+H11+H12+H14+H15+H16+H17+H18+H19+H21+H22+H23+H24+H25+H26+H27+H28+H29+H30+H31+H32+H34+H35+H36+H37+H38+H39+H41+H42+H43+H44+H45+H46+H47+H49</f>
        <v>1226677232</v>
      </c>
      <c r="I51" s="90"/>
      <c r="J51" s="90"/>
    </row>
    <row r="52" ht="21.75" customHeight="1">
      <c r="B52" s="91" t="s">
        <v>259</v>
      </c>
      <c r="C52" s="75"/>
      <c r="D52" s="75"/>
      <c r="E52" s="75"/>
      <c r="F52" s="75"/>
      <c r="G52" s="76"/>
      <c r="H52" s="92">
        <f>H51*0.19</f>
        <v>233068674.1</v>
      </c>
      <c r="I52" s="93"/>
      <c r="J52" s="93"/>
    </row>
    <row r="53" ht="25.5" customHeight="1">
      <c r="B53" s="94" t="s">
        <v>260</v>
      </c>
      <c r="C53" s="78"/>
      <c r="D53" s="78"/>
      <c r="E53" s="78"/>
      <c r="F53" s="78"/>
      <c r="G53" s="79"/>
      <c r="H53" s="95">
        <f>H51+H52</f>
        <v>1459745906</v>
      </c>
      <c r="I53" s="96"/>
      <c r="J53" s="96"/>
    </row>
    <row r="54" ht="14.25" customHeight="1"/>
    <row r="55" ht="31.5" customHeight="1">
      <c r="B55" s="97" t="s">
        <v>261</v>
      </c>
    </row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B40:J40"/>
    <mergeCell ref="B48:J48"/>
    <mergeCell ref="B51:G51"/>
    <mergeCell ref="B52:G52"/>
    <mergeCell ref="B53:G53"/>
    <mergeCell ref="B55:J55"/>
    <mergeCell ref="B1:J1"/>
    <mergeCell ref="B3:J3"/>
    <mergeCell ref="B6:J6"/>
    <mergeCell ref="B7:J7"/>
    <mergeCell ref="B13:J13"/>
    <mergeCell ref="B20:J20"/>
    <mergeCell ref="B33:J33"/>
  </mergeCells>
  <hyperlinks>
    <hyperlink r:id="rId1" ref="J14"/>
  </hyperlinks>
  <printOptions/>
  <pageMargins bottom="1.0" footer="0.0" header="0.0" left="0.75" right="0.75" top="1.0"/>
  <pageSetup paperSize="9"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4.0"/>
    <col customWidth="1" min="3" max="3" width="18.86"/>
    <col customWidth="1" min="4" max="4" width="14.0"/>
    <col customWidth="1" min="5" max="5" width="28.0"/>
    <col customWidth="1" min="6" max="26" width="8.71"/>
  </cols>
  <sheetData>
    <row r="1" ht="24.0" customHeight="1">
      <c r="B1" s="18" t="s">
        <v>262</v>
      </c>
      <c r="C1" s="12"/>
      <c r="D1" s="12"/>
      <c r="E1" s="13"/>
    </row>
    <row r="2" ht="14.25" customHeight="1"/>
    <row r="3" ht="18.0" customHeight="1">
      <c r="B3" s="19" t="s">
        <v>263</v>
      </c>
      <c r="C3" s="20"/>
      <c r="D3" s="20"/>
      <c r="E3" s="21"/>
    </row>
    <row r="4" ht="15.75" customHeight="1">
      <c r="B4" s="22" t="s">
        <v>97</v>
      </c>
      <c r="C4" s="22" t="s">
        <v>264</v>
      </c>
      <c r="D4" s="22" t="s">
        <v>265</v>
      </c>
      <c r="E4" s="22" t="s">
        <v>266</v>
      </c>
    </row>
    <row r="5" ht="21.75" customHeight="1">
      <c r="B5" s="98" t="s">
        <v>267</v>
      </c>
      <c r="C5" s="99">
        <v>1.2E7</v>
      </c>
      <c r="D5" s="100" t="s">
        <v>268</v>
      </c>
      <c r="E5" s="101" t="s">
        <v>269</v>
      </c>
    </row>
    <row r="6" ht="21.75" customHeight="1">
      <c r="B6" s="102" t="s">
        <v>270</v>
      </c>
      <c r="C6" s="103">
        <f>ROUND((Supuestos!C28+Supuestos!C29+Supuestos!C30)*Supuestos!C31*Supuestos!C8*Supuestos!C32,0)</f>
        <v>41610000</v>
      </c>
      <c r="D6" s="104" t="s">
        <v>271</v>
      </c>
      <c r="E6" s="105" t="s">
        <v>272</v>
      </c>
    </row>
    <row r="7" ht="21.75" customHeight="1">
      <c r="B7" s="98" t="s">
        <v>273</v>
      </c>
      <c r="C7" s="99">
        <v>1.8E7</v>
      </c>
      <c r="D7" s="100" t="s">
        <v>274</v>
      </c>
      <c r="E7" s="101" t="s">
        <v>275</v>
      </c>
    </row>
    <row r="8" ht="21.75" customHeight="1">
      <c r="B8" s="102" t="s">
        <v>276</v>
      </c>
      <c r="C8" s="106">
        <v>1.0E7</v>
      </c>
      <c r="D8" s="104" t="s">
        <v>277</v>
      </c>
      <c r="E8" s="105" t="s">
        <v>278</v>
      </c>
    </row>
    <row r="9" ht="21.75" customHeight="1">
      <c r="B9" s="98" t="s">
        <v>279</v>
      </c>
      <c r="C9" s="99">
        <v>1.8E7</v>
      </c>
      <c r="D9" s="100" t="s">
        <v>280</v>
      </c>
      <c r="E9" s="101" t="s">
        <v>281</v>
      </c>
    </row>
    <row r="10" ht="21.75" customHeight="1">
      <c r="B10" s="102" t="s">
        <v>282</v>
      </c>
      <c r="C10" s="106">
        <v>6500000.0</v>
      </c>
      <c r="D10" s="104" t="s">
        <v>283</v>
      </c>
      <c r="E10" s="105" t="s">
        <v>284</v>
      </c>
    </row>
    <row r="11" ht="19.5" customHeight="1">
      <c r="B11" s="107" t="s">
        <v>285</v>
      </c>
      <c r="C11" s="108">
        <f>C5+C6+C7+C8+C9+C10</f>
        <v>106110000</v>
      </c>
      <c r="D11" s="109"/>
      <c r="E11" s="109"/>
    </row>
    <row r="12" ht="14.25" customHeight="1"/>
    <row r="13" ht="14.25" customHeight="1"/>
    <row r="14" ht="18.0" customHeight="1">
      <c r="B14" s="110" t="s">
        <v>286</v>
      </c>
      <c r="C14" s="111"/>
      <c r="D14" s="111"/>
      <c r="E14" s="112"/>
    </row>
    <row r="15" ht="15.75" customHeight="1">
      <c r="B15" s="22" t="s">
        <v>97</v>
      </c>
      <c r="C15" s="22" t="s">
        <v>287</v>
      </c>
      <c r="D15" s="22" t="s">
        <v>265</v>
      </c>
      <c r="E15" s="22" t="s">
        <v>288</v>
      </c>
    </row>
    <row r="16" ht="21.75" customHeight="1">
      <c r="B16" s="102" t="s">
        <v>289</v>
      </c>
      <c r="C16" s="103">
        <f>Supuestos!C24*Supuestos!C21*12</f>
        <v>255492057.6</v>
      </c>
      <c r="D16" s="104" t="s">
        <v>271</v>
      </c>
      <c r="E16" s="105" t="s">
        <v>290</v>
      </c>
    </row>
    <row r="17" ht="21.75" customHeight="1">
      <c r="B17" s="98" t="s">
        <v>291</v>
      </c>
      <c r="C17" s="99">
        <v>1.5E7</v>
      </c>
      <c r="D17" s="100" t="s">
        <v>292</v>
      </c>
      <c r="E17" s="101" t="s">
        <v>293</v>
      </c>
    </row>
    <row r="18" ht="21.75" customHeight="1">
      <c r="B18" s="102" t="s">
        <v>294</v>
      </c>
      <c r="C18" s="106">
        <v>2.0E7</v>
      </c>
      <c r="D18" s="104" t="s">
        <v>295</v>
      </c>
      <c r="E18" s="105" t="s">
        <v>296</v>
      </c>
    </row>
    <row r="19" ht="21.75" customHeight="1">
      <c r="B19" s="102" t="s">
        <v>297</v>
      </c>
      <c r="C19" s="106">
        <v>1.2E7</v>
      </c>
      <c r="D19" s="104" t="s">
        <v>298</v>
      </c>
      <c r="E19" s="105" t="s">
        <v>299</v>
      </c>
    </row>
    <row r="20" ht="21.75" customHeight="1">
      <c r="B20" s="98" t="s">
        <v>300</v>
      </c>
      <c r="C20" s="99">
        <v>1.0E7</v>
      </c>
      <c r="D20" s="100" t="s">
        <v>301</v>
      </c>
      <c r="E20" s="101" t="s">
        <v>302</v>
      </c>
    </row>
    <row r="21" ht="21.75" customHeight="1">
      <c r="B21" s="102" t="s">
        <v>303</v>
      </c>
      <c r="C21" s="106">
        <v>7000000.0</v>
      </c>
      <c r="D21" s="104" t="s">
        <v>304</v>
      </c>
      <c r="E21" s="105" t="s">
        <v>305</v>
      </c>
    </row>
    <row r="22" ht="21.75" customHeight="1">
      <c r="B22" s="113" t="s">
        <v>306</v>
      </c>
      <c r="C22" s="114">
        <f>C16+C17+C18+C19+C20+C21</f>
        <v>319492057.6</v>
      </c>
      <c r="D22" s="115"/>
      <c r="E22" s="115"/>
    </row>
    <row r="23" ht="19.5" customHeight="1">
      <c r="B23" s="116" t="s">
        <v>307</v>
      </c>
      <c r="C23" s="117">
        <f>C22-C11</f>
        <v>213382057.6</v>
      </c>
      <c r="D23" s="118"/>
      <c r="E23" s="118"/>
    </row>
    <row r="24" ht="21.75" customHeight="1">
      <c r="C24" s="119">
        <f>C23-C11</f>
        <v>107272057.6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B1:E1"/>
    <mergeCell ref="B3:E3"/>
    <mergeCell ref="B14:E1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0.0"/>
    <col customWidth="1" min="3" max="5" width="18.71"/>
    <col customWidth="1" min="6" max="7" width="17.14"/>
    <col customWidth="1" min="8" max="13" width="16.0"/>
    <col customWidth="1" min="14" max="26" width="8.71"/>
  </cols>
  <sheetData>
    <row r="1" ht="24.0" customHeight="1">
      <c r="B1" s="18" t="s">
        <v>308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ht="18.0" customHeight="1">
      <c r="B2" s="22" t="s">
        <v>97</v>
      </c>
      <c r="C2" s="120" t="s">
        <v>309</v>
      </c>
      <c r="D2" s="121" t="s">
        <v>310</v>
      </c>
      <c r="E2" s="121" t="s">
        <v>311</v>
      </c>
      <c r="F2" s="121" t="s">
        <v>312</v>
      </c>
      <c r="G2" s="121" t="s">
        <v>313</v>
      </c>
      <c r="H2" s="121" t="s">
        <v>314</v>
      </c>
      <c r="I2" s="121" t="s">
        <v>315</v>
      </c>
      <c r="J2" s="121" t="s">
        <v>316</v>
      </c>
      <c r="K2" s="121" t="s">
        <v>317</v>
      </c>
      <c r="L2" s="121" t="s">
        <v>318</v>
      </c>
      <c r="M2" s="121" t="s">
        <v>319</v>
      </c>
    </row>
    <row r="3" ht="15.75" customHeight="1">
      <c r="B3" s="122" t="s">
        <v>320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6"/>
    </row>
    <row r="4" ht="18.0" customHeight="1">
      <c r="B4" s="123" t="s">
        <v>321</v>
      </c>
      <c r="C4" s="124">
        <f>-CAPEX!H53</f>
        <v>-1459745906</v>
      </c>
      <c r="D4" s="125">
        <f t="shared" ref="D4:M4" si="1">0</f>
        <v>0</v>
      </c>
      <c r="E4" s="125">
        <f t="shared" si="1"/>
        <v>0</v>
      </c>
      <c r="F4" s="125">
        <f t="shared" si="1"/>
        <v>0</v>
      </c>
      <c r="G4" s="125">
        <f t="shared" si="1"/>
        <v>0</v>
      </c>
      <c r="H4" s="125">
        <f t="shared" si="1"/>
        <v>0</v>
      </c>
      <c r="I4" s="125">
        <f t="shared" si="1"/>
        <v>0</v>
      </c>
      <c r="J4" s="125">
        <f t="shared" si="1"/>
        <v>0</v>
      </c>
      <c r="K4" s="125">
        <f t="shared" si="1"/>
        <v>0</v>
      </c>
      <c r="L4" s="125">
        <f t="shared" si="1"/>
        <v>0</v>
      </c>
      <c r="M4" s="125">
        <f t="shared" si="1"/>
        <v>0</v>
      </c>
    </row>
    <row r="5" ht="15.75" customHeight="1">
      <c r="B5" s="122" t="s">
        <v>322</v>
      </c>
      <c r="C5" s="75"/>
      <c r="D5" s="75"/>
      <c r="E5" s="75"/>
      <c r="F5" s="75"/>
      <c r="G5" s="75"/>
      <c r="H5" s="75"/>
      <c r="I5" s="75"/>
      <c r="J5" s="75"/>
      <c r="K5" s="75"/>
      <c r="L5" s="75"/>
      <c r="M5" s="76"/>
    </row>
    <row r="6" ht="18.0" customHeight="1">
      <c r="B6" s="102" t="s">
        <v>323</v>
      </c>
      <c r="C6" s="103">
        <f t="shared" ref="C6:C11" si="2">0</f>
        <v>0</v>
      </c>
      <c r="D6" s="103">
        <f>OPEX_Beneficios!C5*((1+Supuestos!$C$14)^1)</f>
        <v>12600000</v>
      </c>
      <c r="E6" s="103">
        <f>OPEX_Beneficios!C5*((1+Supuestos!$C$14)^2)</f>
        <v>13230000</v>
      </c>
      <c r="F6" s="103">
        <f>OPEX_Beneficios!C5*((1+Supuestos!$C$14)^3)</f>
        <v>13891500</v>
      </c>
      <c r="G6" s="103">
        <f>OPEX_Beneficios!C5*((1+Supuestos!$C$14)^4)</f>
        <v>14586075</v>
      </c>
      <c r="H6" s="103">
        <f>OPEX_Beneficios!C5*((1+Supuestos!$C$14)^5)</f>
        <v>15315378.75</v>
      </c>
      <c r="I6" s="103">
        <f>OPEX_Beneficios!C5*((1+Supuestos!$C$14)^6)</f>
        <v>16081147.69</v>
      </c>
      <c r="J6" s="103">
        <f>OPEX_Beneficios!C5*((1+Supuestos!$C$14)^7)</f>
        <v>16885205.07</v>
      </c>
      <c r="K6" s="103">
        <f>OPEX_Beneficios!C5*((1+Supuestos!$C$14)^8)</f>
        <v>17729465.33</v>
      </c>
      <c r="L6" s="103">
        <f>OPEX_Beneficios!C5*((1+Supuestos!$C$14)^9)</f>
        <v>18615938.59</v>
      </c>
      <c r="M6" s="103">
        <f>OPEX_Beneficios!C5*((1+Supuestos!$C$14)^10)</f>
        <v>19546735.52</v>
      </c>
    </row>
    <row r="7" ht="18.0" customHeight="1">
      <c r="B7" s="98" t="s">
        <v>324</v>
      </c>
      <c r="C7" s="126">
        <f t="shared" si="2"/>
        <v>0</v>
      </c>
      <c r="D7" s="126">
        <f>OPEX_Beneficios!C6*((1+Supuestos!$C$14)^1)</f>
        <v>43690500</v>
      </c>
      <c r="E7" s="126">
        <f>OPEX_Beneficios!C6*((1+Supuestos!$C$14)^2)</f>
        <v>45875025</v>
      </c>
      <c r="F7" s="126">
        <f>OPEX_Beneficios!C6*((1+Supuestos!$C$14)^3)</f>
        <v>48168776.25</v>
      </c>
      <c r="G7" s="126">
        <f>OPEX_Beneficios!C6*((1+Supuestos!$C$14)^4)</f>
        <v>50577215.06</v>
      </c>
      <c r="H7" s="126">
        <f>OPEX_Beneficios!C6*((1+Supuestos!$C$14)^5)</f>
        <v>53106075.82</v>
      </c>
      <c r="I7" s="126">
        <f>OPEX_Beneficios!C6*((1+Supuestos!$C$14)^6)</f>
        <v>55761379.61</v>
      </c>
      <c r="J7" s="126">
        <f>OPEX_Beneficios!C6*((1+Supuestos!$C$14)^7)</f>
        <v>58549448.59</v>
      </c>
      <c r="K7" s="126">
        <f>OPEX_Beneficios!C6*((1+Supuestos!$C$14)^8)</f>
        <v>61476921.02</v>
      </c>
      <c r="L7" s="126">
        <f>OPEX_Beneficios!C6*((1+Supuestos!$C$14)^9)</f>
        <v>64550767.07</v>
      </c>
      <c r="M7" s="126">
        <f>OPEX_Beneficios!C6*((1+Supuestos!$C$14)^10)</f>
        <v>67778305.42</v>
      </c>
    </row>
    <row r="8" ht="18.0" customHeight="1">
      <c r="B8" s="102" t="s">
        <v>325</v>
      </c>
      <c r="C8" s="103">
        <f t="shared" si="2"/>
        <v>0</v>
      </c>
      <c r="D8" s="103">
        <f>OPEX_Beneficios!C7*((1+Supuestos!$C$14)^1)</f>
        <v>18900000</v>
      </c>
      <c r="E8" s="103">
        <f>OPEX_Beneficios!C7*((1+Supuestos!$C$14)^2)</f>
        <v>19845000</v>
      </c>
      <c r="F8" s="103">
        <f>OPEX_Beneficios!C7*((1+Supuestos!$C$14)^3)</f>
        <v>20837250</v>
      </c>
      <c r="G8" s="103">
        <f>OPEX_Beneficios!C7*((1+Supuestos!$C$14)^4)</f>
        <v>21879112.5</v>
      </c>
      <c r="H8" s="103">
        <f>OPEX_Beneficios!C7*((1+Supuestos!$C$14)^5)</f>
        <v>22973068.13</v>
      </c>
      <c r="I8" s="103">
        <f>OPEX_Beneficios!C7*((1+Supuestos!$C$14)^6)</f>
        <v>24121721.53</v>
      </c>
      <c r="J8" s="103">
        <f>OPEX_Beneficios!C7*((1+Supuestos!$C$14)^7)</f>
        <v>25327807.61</v>
      </c>
      <c r="K8" s="103">
        <f>OPEX_Beneficios!C7*((1+Supuestos!$C$14)^8)</f>
        <v>26594197.99</v>
      </c>
      <c r="L8" s="103">
        <f>OPEX_Beneficios!C7*((1+Supuestos!$C$14)^9)</f>
        <v>27923907.89</v>
      </c>
      <c r="M8" s="103">
        <f>OPEX_Beneficios!C7*((1+Supuestos!$C$14)^10)</f>
        <v>29320103.28</v>
      </c>
    </row>
    <row r="9" ht="18.0" customHeight="1">
      <c r="B9" s="98" t="s">
        <v>326</v>
      </c>
      <c r="C9" s="126">
        <f t="shared" si="2"/>
        <v>0</v>
      </c>
      <c r="D9" s="126">
        <f>OPEX_Beneficios!C8*((1+Supuestos!$C$14)^1)</f>
        <v>10500000</v>
      </c>
      <c r="E9" s="126">
        <f>OPEX_Beneficios!C8*((1+Supuestos!$C$14)^2)</f>
        <v>11025000</v>
      </c>
      <c r="F9" s="126">
        <f>OPEX_Beneficios!C8*((1+Supuestos!$C$14)^3)</f>
        <v>11576250</v>
      </c>
      <c r="G9" s="126">
        <f>OPEX_Beneficios!C8*((1+Supuestos!$C$14)^4)</f>
        <v>12155062.5</v>
      </c>
      <c r="H9" s="126">
        <f>OPEX_Beneficios!C8*((1+Supuestos!$C$14)^5)</f>
        <v>12762815.63</v>
      </c>
      <c r="I9" s="126">
        <f>OPEX_Beneficios!C8*((1+Supuestos!$C$14)^6)</f>
        <v>13400956.41</v>
      </c>
      <c r="J9" s="126">
        <f>OPEX_Beneficios!C8*((1+Supuestos!$C$14)^7)</f>
        <v>14071004.23</v>
      </c>
      <c r="K9" s="126">
        <f>OPEX_Beneficios!C8*((1+Supuestos!$C$14)^8)</f>
        <v>14774554.44</v>
      </c>
      <c r="L9" s="126">
        <f>OPEX_Beneficios!C8*((1+Supuestos!$C$14)^9)</f>
        <v>15513282.16</v>
      </c>
      <c r="M9" s="126">
        <f>OPEX_Beneficios!C8*((1+Supuestos!$C$14)^10)</f>
        <v>16288946.27</v>
      </c>
    </row>
    <row r="10" ht="18.0" customHeight="1">
      <c r="B10" s="102" t="s">
        <v>327</v>
      </c>
      <c r="C10" s="103">
        <f t="shared" si="2"/>
        <v>0</v>
      </c>
      <c r="D10" s="103">
        <f>OPEX_Beneficios!C9*((1+Supuestos!$C$14)^1)</f>
        <v>18900000</v>
      </c>
      <c r="E10" s="103">
        <f>OPEX_Beneficios!C9*((1+Supuestos!$C$14)^2)</f>
        <v>19845000</v>
      </c>
      <c r="F10" s="103">
        <f>OPEX_Beneficios!C9*((1+Supuestos!$C$14)^3)</f>
        <v>20837250</v>
      </c>
      <c r="G10" s="103">
        <f>OPEX_Beneficios!C9*((1+Supuestos!$C$14)^4)</f>
        <v>21879112.5</v>
      </c>
      <c r="H10" s="103">
        <f>OPEX_Beneficios!C9*((1+Supuestos!$C$14)^5)</f>
        <v>22973068.13</v>
      </c>
      <c r="I10" s="103">
        <f>OPEX_Beneficios!C9*((1+Supuestos!$C$14)^6)</f>
        <v>24121721.53</v>
      </c>
      <c r="J10" s="103">
        <f>OPEX_Beneficios!C9*((1+Supuestos!$C$14)^7)</f>
        <v>25327807.61</v>
      </c>
      <c r="K10" s="103">
        <f>OPEX_Beneficios!C9*((1+Supuestos!$C$14)^8)</f>
        <v>26594197.99</v>
      </c>
      <c r="L10" s="103">
        <f>OPEX_Beneficios!C9*((1+Supuestos!$C$14)^9)</f>
        <v>27923907.89</v>
      </c>
      <c r="M10" s="103">
        <f>OPEX_Beneficios!C9*((1+Supuestos!$C$14)^10)</f>
        <v>29320103.28</v>
      </c>
    </row>
    <row r="11" ht="18.0" customHeight="1">
      <c r="B11" s="98" t="s">
        <v>328</v>
      </c>
      <c r="C11" s="126">
        <f t="shared" si="2"/>
        <v>0</v>
      </c>
      <c r="D11" s="126">
        <f>OPEX_Beneficios!C10*((1+Supuestos!$C$14)^1)</f>
        <v>6825000</v>
      </c>
      <c r="E11" s="126">
        <f>OPEX_Beneficios!C10*((1+Supuestos!$C$14)^2)</f>
        <v>7166250</v>
      </c>
      <c r="F11" s="126">
        <f>OPEX_Beneficios!C10*((1+Supuestos!$C$14)^3)</f>
        <v>7524562.5</v>
      </c>
      <c r="G11" s="126">
        <f>OPEX_Beneficios!C10*((1+Supuestos!$C$14)^4)</f>
        <v>7900790.625</v>
      </c>
      <c r="H11" s="126">
        <f>OPEX_Beneficios!C10*((1+Supuestos!$C$14)^5)</f>
        <v>8295830.156</v>
      </c>
      <c r="I11" s="126">
        <f>OPEX_Beneficios!C10*((1+Supuestos!$C$14)^6)</f>
        <v>8710621.664</v>
      </c>
      <c r="J11" s="126">
        <f>OPEX_Beneficios!C10*((1+Supuestos!$C$14)^7)</f>
        <v>9146152.747</v>
      </c>
      <c r="K11" s="126">
        <f>OPEX_Beneficios!C10*((1+Supuestos!$C$14)^8)</f>
        <v>9603460.385</v>
      </c>
      <c r="L11" s="126">
        <f>OPEX_Beneficios!C10*((1+Supuestos!$C$14)^9)</f>
        <v>10083633.4</v>
      </c>
      <c r="M11" s="126">
        <f>OPEX_Beneficios!C10*((1+Supuestos!$C$14)^10)</f>
        <v>10587815.07</v>
      </c>
    </row>
    <row r="12" ht="18.0" customHeight="1">
      <c r="B12" s="127" t="s">
        <v>329</v>
      </c>
      <c r="C12" s="128">
        <f t="shared" ref="C12:M12" si="3">SUM(C6:C11)</f>
        <v>0</v>
      </c>
      <c r="D12" s="128">
        <f t="shared" si="3"/>
        <v>111415500</v>
      </c>
      <c r="E12" s="128">
        <f t="shared" si="3"/>
        <v>116986275</v>
      </c>
      <c r="F12" s="128">
        <f t="shared" si="3"/>
        <v>122835588.8</v>
      </c>
      <c r="G12" s="128">
        <f t="shared" si="3"/>
        <v>128977368.2</v>
      </c>
      <c r="H12" s="128">
        <f t="shared" si="3"/>
        <v>135426236.6</v>
      </c>
      <c r="I12" s="128">
        <f t="shared" si="3"/>
        <v>142197548.4</v>
      </c>
      <c r="J12" s="128">
        <f t="shared" si="3"/>
        <v>149307425.8</v>
      </c>
      <c r="K12" s="128">
        <f t="shared" si="3"/>
        <v>156772797.1</v>
      </c>
      <c r="L12" s="128">
        <f t="shared" si="3"/>
        <v>164611437</v>
      </c>
      <c r="M12" s="128">
        <f t="shared" si="3"/>
        <v>172842008.8</v>
      </c>
    </row>
    <row r="13" ht="15.75" customHeight="1">
      <c r="B13" s="129" t="s">
        <v>330</v>
      </c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2"/>
    </row>
    <row r="14" ht="18.0" customHeight="1">
      <c r="B14" s="102" t="s">
        <v>331</v>
      </c>
      <c r="C14" s="103">
        <f t="shared" ref="C14:C19" si="4">0</f>
        <v>0</v>
      </c>
      <c r="D14" s="103">
        <f>OPEX_Beneficios!C16*((1+Supuestos!$C$14)^1)</f>
        <v>268266660.5</v>
      </c>
      <c r="E14" s="103">
        <f>OPEX_Beneficios!C16*((1+Supuestos!$C$14)^2)</f>
        <v>281679993.5</v>
      </c>
      <c r="F14" s="103">
        <f>OPEX_Beneficios!C16*((1+Supuestos!$C$14)^3)</f>
        <v>295763993.2</v>
      </c>
      <c r="G14" s="103">
        <f>OPEX_Beneficios!C16*((1+Supuestos!$C$14)^4)</f>
        <v>310552192.8</v>
      </c>
      <c r="H14" s="103">
        <f>OPEX_Beneficios!C16*((1+Supuestos!$C$14)^5)</f>
        <v>326079802.5</v>
      </c>
      <c r="I14" s="103">
        <f>OPEX_Beneficios!C16*((1+Supuestos!$C$14)^6)</f>
        <v>342383792.6</v>
      </c>
      <c r="J14" s="103">
        <f>OPEX_Beneficios!C16*((1+Supuestos!$C$14)^7)</f>
        <v>359502982.2</v>
      </c>
      <c r="K14" s="103">
        <f>OPEX_Beneficios!C16*((1+Supuestos!$C$14)^8)</f>
        <v>377478131.3</v>
      </c>
      <c r="L14" s="103">
        <f>OPEX_Beneficios!C16*((1+Supuestos!$C$14)^9)</f>
        <v>396352037.9</v>
      </c>
      <c r="M14" s="103">
        <f>OPEX_Beneficios!C16*((1+Supuestos!$C$14)^10)</f>
        <v>416169639.8</v>
      </c>
    </row>
    <row r="15" ht="18.0" customHeight="1">
      <c r="B15" s="98" t="s">
        <v>332</v>
      </c>
      <c r="C15" s="126">
        <f t="shared" si="4"/>
        <v>0</v>
      </c>
      <c r="D15" s="126">
        <f>OPEX_Beneficios!C17*((1+Supuestos!$C$15)^1)</f>
        <v>15450000</v>
      </c>
      <c r="E15" s="126">
        <f>OPEX_Beneficios!C17*((1+Supuestos!$C$15)^2)</f>
        <v>15913500</v>
      </c>
      <c r="F15" s="126">
        <f>OPEX_Beneficios!C17*((1+Supuestos!$C$15)^3)</f>
        <v>16390905</v>
      </c>
      <c r="G15" s="126">
        <f>OPEX_Beneficios!C17*((1+Supuestos!$C$15)^4)</f>
        <v>16882632.15</v>
      </c>
      <c r="H15" s="126">
        <f>OPEX_Beneficios!C17*((1+Supuestos!$C$15)^5)</f>
        <v>17389111.11</v>
      </c>
      <c r="I15" s="126">
        <f>OPEX_Beneficios!C17*((1+Supuestos!$C$15)^6)</f>
        <v>17910784.45</v>
      </c>
      <c r="J15" s="126">
        <f>OPEX_Beneficios!C17*((1+Supuestos!$C$15)^7)</f>
        <v>18448107.98</v>
      </c>
      <c r="K15" s="126">
        <f>OPEX_Beneficios!C17*((1+Supuestos!$C$15)^8)</f>
        <v>19001551.22</v>
      </c>
      <c r="L15" s="126">
        <f>OPEX_Beneficios!C17*((1+Supuestos!$C$15)^9)</f>
        <v>19571597.76</v>
      </c>
      <c r="M15" s="126">
        <f>OPEX_Beneficios!C17*((1+Supuestos!$C$15)^10)</f>
        <v>20158745.69</v>
      </c>
    </row>
    <row r="16" ht="18.0" customHeight="1">
      <c r="B16" s="102" t="s">
        <v>333</v>
      </c>
      <c r="C16" s="103">
        <f t="shared" si="4"/>
        <v>0</v>
      </c>
      <c r="D16" s="103">
        <f>OPEX_Beneficios!C18*((1+Supuestos!$C$15)^1)</f>
        <v>20600000</v>
      </c>
      <c r="E16" s="103">
        <f>OPEX_Beneficios!C18*((1+Supuestos!$C$15)^2)</f>
        <v>21218000</v>
      </c>
      <c r="F16" s="103">
        <f>OPEX_Beneficios!C18*((1+Supuestos!$C$15)^3)</f>
        <v>21854540</v>
      </c>
      <c r="G16" s="103">
        <f>OPEX_Beneficios!C18*((1+Supuestos!$C$15)^4)</f>
        <v>22510176.2</v>
      </c>
      <c r="H16" s="103">
        <f>OPEX_Beneficios!C18*((1+Supuestos!$C$15)^5)</f>
        <v>23185481.49</v>
      </c>
      <c r="I16" s="103">
        <f>OPEX_Beneficios!C18*((1+Supuestos!$C$15)^6)</f>
        <v>23881045.93</v>
      </c>
      <c r="J16" s="103">
        <f>OPEX_Beneficios!C18*((1+Supuestos!$C$15)^7)</f>
        <v>24597477.31</v>
      </c>
      <c r="K16" s="103">
        <f>OPEX_Beneficios!C18*((1+Supuestos!$C$15)^8)</f>
        <v>25335401.63</v>
      </c>
      <c r="L16" s="103">
        <f>OPEX_Beneficios!C18*((1+Supuestos!$C$15)^9)</f>
        <v>26095463.68</v>
      </c>
      <c r="M16" s="103">
        <f>OPEX_Beneficios!C18*((1+Supuestos!$C$15)^10)</f>
        <v>26878327.59</v>
      </c>
    </row>
    <row r="17" ht="18.0" customHeight="1">
      <c r="B17" s="102" t="s">
        <v>334</v>
      </c>
      <c r="C17" s="103">
        <f t="shared" si="4"/>
        <v>0</v>
      </c>
      <c r="D17" s="103">
        <f>OPEX_Beneficios!C19*((1+Supuestos!$C$14)^1)</f>
        <v>12600000</v>
      </c>
      <c r="E17" s="103">
        <f>OPEX_Beneficios!C19*((1+Supuestos!$C$14)^2)</f>
        <v>13230000</v>
      </c>
      <c r="F17" s="103">
        <f>OPEX_Beneficios!C19*((1+Supuestos!$C$14)^3)</f>
        <v>13891500</v>
      </c>
      <c r="G17" s="103">
        <f>OPEX_Beneficios!C19*((1+Supuestos!$C$14)^4)</f>
        <v>14586075</v>
      </c>
      <c r="H17" s="103">
        <f>OPEX_Beneficios!C19*((1+Supuestos!$C$14)^5)</f>
        <v>15315378.75</v>
      </c>
      <c r="I17" s="103">
        <f>OPEX_Beneficios!C19*((1+Supuestos!$C$14)^6)</f>
        <v>16081147.69</v>
      </c>
      <c r="J17" s="103">
        <f>OPEX_Beneficios!C19*((1+Supuestos!$C$14)^7)</f>
        <v>16885205.07</v>
      </c>
      <c r="K17" s="103">
        <f>OPEX_Beneficios!C19*((1+Supuestos!$C$14)^8)</f>
        <v>17729465.33</v>
      </c>
      <c r="L17" s="103">
        <f>OPEX_Beneficios!C19*((1+Supuestos!$C$14)^9)</f>
        <v>18615938.59</v>
      </c>
      <c r="M17" s="103">
        <f>OPEX_Beneficios!C19*((1+Supuestos!$C$14)^10)</f>
        <v>19546735.52</v>
      </c>
    </row>
    <row r="18" ht="18.0" customHeight="1">
      <c r="B18" s="98" t="s">
        <v>335</v>
      </c>
      <c r="C18" s="126">
        <f t="shared" si="4"/>
        <v>0</v>
      </c>
      <c r="D18" s="126">
        <f>OPEX_Beneficios!C20*((1+Supuestos!$C$15)^1)</f>
        <v>10300000</v>
      </c>
      <c r="E18" s="126">
        <f>OPEX_Beneficios!C20*((1+Supuestos!$C$15)^2)</f>
        <v>10609000</v>
      </c>
      <c r="F18" s="126">
        <f>OPEX_Beneficios!C20*((1+Supuestos!$C$15)^3)</f>
        <v>10927270</v>
      </c>
      <c r="G18" s="126">
        <f>OPEX_Beneficios!C20*((1+Supuestos!$C$15)^4)</f>
        <v>11255088.1</v>
      </c>
      <c r="H18" s="126">
        <f>OPEX_Beneficios!C20*((1+Supuestos!$C$15)^5)</f>
        <v>11592740.74</v>
      </c>
      <c r="I18" s="126">
        <f>OPEX_Beneficios!C20*((1+Supuestos!$C$15)^6)</f>
        <v>11940522.97</v>
      </c>
      <c r="J18" s="126">
        <f>OPEX_Beneficios!C20*((1+Supuestos!$C$15)^7)</f>
        <v>12298738.65</v>
      </c>
      <c r="K18" s="126">
        <f>OPEX_Beneficios!C20*((1+Supuestos!$C$15)^8)</f>
        <v>12667700.81</v>
      </c>
      <c r="L18" s="126">
        <f>OPEX_Beneficios!C20*((1+Supuestos!$C$15)^9)</f>
        <v>13047731.84</v>
      </c>
      <c r="M18" s="126">
        <f>OPEX_Beneficios!C20*((1+Supuestos!$C$15)^10)</f>
        <v>13439163.79</v>
      </c>
    </row>
    <row r="19" ht="18.0" customHeight="1">
      <c r="B19" s="102" t="s">
        <v>336</v>
      </c>
      <c r="C19" s="103">
        <f t="shared" si="4"/>
        <v>0</v>
      </c>
      <c r="D19" s="103">
        <f>OPEX_Beneficios!C21*((1+Supuestos!$C$14)^1)</f>
        <v>7350000</v>
      </c>
      <c r="E19" s="103">
        <f>OPEX_Beneficios!C21*((1+Supuestos!$C$14)^2)</f>
        <v>7717500</v>
      </c>
      <c r="F19" s="103">
        <f>OPEX_Beneficios!C21*((1+Supuestos!$C$14)^3)</f>
        <v>8103375</v>
      </c>
      <c r="G19" s="103">
        <f>OPEX_Beneficios!C21*((1+Supuestos!$C$14)^4)</f>
        <v>8508543.75</v>
      </c>
      <c r="H19" s="103">
        <f>OPEX_Beneficios!C21*((1+Supuestos!$C$14)^5)</f>
        <v>8933970.938</v>
      </c>
      <c r="I19" s="103">
        <f>OPEX_Beneficios!C21*((1+Supuestos!$C$14)^6)</f>
        <v>9380669.484</v>
      </c>
      <c r="J19" s="103">
        <f>OPEX_Beneficios!C21*((1+Supuestos!$C$14)^7)</f>
        <v>9849702.959</v>
      </c>
      <c r="K19" s="103">
        <f>OPEX_Beneficios!C21*((1+Supuestos!$C$14)^8)</f>
        <v>10342188.11</v>
      </c>
      <c r="L19" s="103">
        <f>OPEX_Beneficios!C21*((1+Supuestos!$C$14)^9)</f>
        <v>10859297.51</v>
      </c>
      <c r="M19" s="103">
        <f>OPEX_Beneficios!C21*((1+Supuestos!$C$14)^10)</f>
        <v>11402262.39</v>
      </c>
    </row>
    <row r="20" ht="18.0" customHeight="1">
      <c r="B20" s="130" t="s">
        <v>337</v>
      </c>
      <c r="C20" s="131">
        <f t="shared" ref="C20:M20" si="5">SUM(C14:C19)</f>
        <v>0</v>
      </c>
      <c r="D20" s="131">
        <f t="shared" si="5"/>
        <v>334566660.5</v>
      </c>
      <c r="E20" s="131">
        <f t="shared" si="5"/>
        <v>350367993.5</v>
      </c>
      <c r="F20" s="131">
        <f t="shared" si="5"/>
        <v>366931583.2</v>
      </c>
      <c r="G20" s="131">
        <f t="shared" si="5"/>
        <v>384294708</v>
      </c>
      <c r="H20" s="131">
        <f t="shared" si="5"/>
        <v>402496485.5</v>
      </c>
      <c r="I20" s="131">
        <f t="shared" si="5"/>
        <v>421577963.1</v>
      </c>
      <c r="J20" s="131">
        <f t="shared" si="5"/>
        <v>441582214.2</v>
      </c>
      <c r="K20" s="131">
        <f t="shared" si="5"/>
        <v>462554438.4</v>
      </c>
      <c r="L20" s="131">
        <f t="shared" si="5"/>
        <v>484542067.3</v>
      </c>
      <c r="M20" s="131">
        <f t="shared" si="5"/>
        <v>507594874.8</v>
      </c>
    </row>
    <row r="21" ht="18.0" customHeight="1">
      <c r="B21" s="116" t="s">
        <v>338</v>
      </c>
      <c r="C21" s="132">
        <f>C4</f>
        <v>-1459745906</v>
      </c>
      <c r="D21" s="132">
        <f t="shared" ref="D21:M21" si="6">D20-D12+D4</f>
        <v>223151160.5</v>
      </c>
      <c r="E21" s="132">
        <f t="shared" si="6"/>
        <v>233381718.5</v>
      </c>
      <c r="F21" s="132">
        <f t="shared" si="6"/>
        <v>244095994.4</v>
      </c>
      <c r="G21" s="132">
        <f t="shared" si="6"/>
        <v>255317339.9</v>
      </c>
      <c r="H21" s="132">
        <f t="shared" si="6"/>
        <v>267070248.9</v>
      </c>
      <c r="I21" s="132">
        <f t="shared" si="6"/>
        <v>279380414.7</v>
      </c>
      <c r="J21" s="132">
        <f t="shared" si="6"/>
        <v>292274788.4</v>
      </c>
      <c r="K21" s="132">
        <f t="shared" si="6"/>
        <v>305781641.3</v>
      </c>
      <c r="L21" s="132">
        <f t="shared" si="6"/>
        <v>319930630.3</v>
      </c>
      <c r="M21" s="132">
        <f t="shared" si="6"/>
        <v>334752865.9</v>
      </c>
    </row>
    <row r="22" ht="21.75" customHeight="1">
      <c r="B22" s="107" t="s">
        <v>339</v>
      </c>
      <c r="C22" s="133">
        <f>C21</f>
        <v>-1459745906</v>
      </c>
      <c r="D22" s="133">
        <f t="shared" ref="D22:M22" si="7">D21+C22</f>
        <v>-1236594746</v>
      </c>
      <c r="E22" s="133">
        <f t="shared" si="7"/>
        <v>-1003213027</v>
      </c>
      <c r="F22" s="133">
        <f t="shared" si="7"/>
        <v>-759117032.7</v>
      </c>
      <c r="G22" s="133">
        <f t="shared" si="7"/>
        <v>-503799692.8</v>
      </c>
      <c r="H22" s="133">
        <f t="shared" si="7"/>
        <v>-236729443.9</v>
      </c>
      <c r="I22" s="133">
        <f t="shared" si="7"/>
        <v>42650970.79</v>
      </c>
      <c r="J22" s="133">
        <f t="shared" si="7"/>
        <v>334925759.2</v>
      </c>
      <c r="K22" s="133">
        <f t="shared" si="7"/>
        <v>640707400.5</v>
      </c>
      <c r="L22" s="133">
        <f t="shared" si="7"/>
        <v>960638030.7</v>
      </c>
      <c r="M22" s="133">
        <f t="shared" si="7"/>
        <v>1295390897</v>
      </c>
    </row>
    <row r="23" ht="19.5" customHeight="1"/>
    <row r="24" ht="15.0" customHeight="1">
      <c r="B24" s="134" t="s">
        <v>340</v>
      </c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</row>
    <row r="25" ht="15.75" customHeight="1">
      <c r="B25" s="136" t="s">
        <v>341</v>
      </c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</row>
    <row r="26" ht="18.0" customHeight="1">
      <c r="C26" s="138">
        <f>C21</f>
        <v>-1459745906</v>
      </c>
      <c r="D26" s="138">
        <f>D21/((1+Supuestos!$C$13)^1)</f>
        <v>199242107.6</v>
      </c>
      <c r="E26" s="138">
        <f>E21/((1+Supuestos!$C$13)^2)</f>
        <v>186050477.1</v>
      </c>
      <c r="F26" s="138">
        <f>F21/((1+Supuestos!$C$13)^3)</f>
        <v>173742707.4</v>
      </c>
      <c r="G26" s="138">
        <f>G21/((1+Supuestos!$C$13)^4)</f>
        <v>162258785.2</v>
      </c>
      <c r="H26" s="138">
        <f>H21/((1+Supuestos!$C$13)^5)</f>
        <v>151542831.6</v>
      </c>
      <c r="I26" s="138">
        <f>I21/((1+Supuestos!$C$13)^6)</f>
        <v>141542812.7</v>
      </c>
      <c r="J26" s="138">
        <f>J21/((1+Supuestos!$C$13)^7)</f>
        <v>132210271.2</v>
      </c>
      <c r="K26" s="138">
        <f>K21/((1+Supuestos!$C$13)^8)</f>
        <v>123500076.3</v>
      </c>
      <c r="L26" s="138">
        <f>L21/((1+Supuestos!$C$13)^9)</f>
        <v>115370192.6</v>
      </c>
      <c r="M26" s="138">
        <f>M21/((1+Supuestos!$C$13)^10)</f>
        <v>107781463.7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B1:M1"/>
    <mergeCell ref="B3:M3"/>
    <mergeCell ref="B5:M5"/>
    <mergeCell ref="B13:M13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3" width="6.0"/>
    <col customWidth="1" min="4" max="4" width="22.0"/>
    <col customWidth="1" min="5" max="5" width="12.0"/>
    <col customWidth="1" min="6" max="6" width="30.0"/>
    <col customWidth="1" min="7" max="26" width="8.71"/>
  </cols>
  <sheetData>
    <row r="1" ht="24.0" customHeight="1">
      <c r="B1" s="18" t="s">
        <v>342</v>
      </c>
      <c r="C1" s="12"/>
      <c r="D1" s="12"/>
      <c r="E1" s="12"/>
      <c r="F1" s="13"/>
    </row>
    <row r="2" ht="14.25" customHeight="1"/>
    <row r="3" ht="18.0" customHeight="1">
      <c r="B3" s="19" t="s">
        <v>343</v>
      </c>
      <c r="C3" s="20"/>
      <c r="D3" s="20"/>
      <c r="E3" s="20"/>
      <c r="F3" s="21"/>
    </row>
    <row r="4" ht="15.75" customHeight="1">
      <c r="B4" s="139" t="s">
        <v>344</v>
      </c>
      <c r="C4" s="139"/>
      <c r="D4" s="139" t="s">
        <v>30</v>
      </c>
      <c r="E4" s="139" t="s">
        <v>31</v>
      </c>
      <c r="F4" s="139" t="s">
        <v>345</v>
      </c>
    </row>
    <row r="5" ht="21.75" customHeight="1">
      <c r="B5" s="140" t="s">
        <v>346</v>
      </c>
      <c r="C5" s="141" t="s">
        <v>347</v>
      </c>
      <c r="D5" s="142">
        <f t="array" ref="D5">NPV(Supuestos!C13,Flujo_de_Caja!D21:M21)+Flujo_de_Caja!C21</f>
        <v>33495819.36</v>
      </c>
      <c r="E5" s="29" t="s">
        <v>348</v>
      </c>
      <c r="F5" s="143" t="s">
        <v>349</v>
      </c>
    </row>
    <row r="6" ht="21.75" customHeight="1">
      <c r="B6" s="144" t="s">
        <v>350</v>
      </c>
      <c r="C6" s="145" t="s">
        <v>347</v>
      </c>
      <c r="D6" s="146">
        <f>IRR(Flujo_de_Caja!C21:M21)</f>
        <v>0.1251738132</v>
      </c>
      <c r="E6" s="25" t="s">
        <v>351</v>
      </c>
      <c r="F6" s="147" t="s">
        <v>352</v>
      </c>
    </row>
    <row r="7" ht="21.75" customHeight="1">
      <c r="B7" s="140" t="s">
        <v>353</v>
      </c>
      <c r="C7" s="141" t="s">
        <v>347</v>
      </c>
      <c r="D7" s="148">
        <f>CAPEX!H53/OPEX_Beneficios!C23</f>
        <v>6.840996485</v>
      </c>
      <c r="E7" s="29" t="s">
        <v>354</v>
      </c>
      <c r="F7" s="143" t="s">
        <v>355</v>
      </c>
    </row>
    <row r="8" ht="21.75" customHeight="1">
      <c r="B8" s="144" t="s">
        <v>356</v>
      </c>
      <c r="C8" s="145" t="s">
        <v>347</v>
      </c>
      <c r="D8" s="146">
        <f>(OPEX_Beneficios!C23*10-CAPEX!H53)/CAPEX!H53</f>
        <v>0.4617753454</v>
      </c>
      <c r="E8" s="25" t="s">
        <v>351</v>
      </c>
      <c r="F8" s="147" t="s">
        <v>357</v>
      </c>
    </row>
    <row r="9" ht="21.75" customHeight="1">
      <c r="B9" s="149" t="s">
        <v>358</v>
      </c>
      <c r="C9" s="150" t="s">
        <v>347</v>
      </c>
      <c r="D9" s="151">
        <f>OPEX_Beneficios!C23</f>
        <v>213382057.6</v>
      </c>
      <c r="E9" s="29" t="s">
        <v>359</v>
      </c>
      <c r="F9" s="143" t="s">
        <v>360</v>
      </c>
    </row>
    <row r="10" ht="21.75" customHeight="1">
      <c r="B10" s="152" t="s">
        <v>321</v>
      </c>
      <c r="C10" s="153" t="s">
        <v>347</v>
      </c>
      <c r="D10" s="36">
        <f>CAPEX!H53</f>
        <v>1459745906</v>
      </c>
      <c r="E10" s="25" t="s">
        <v>348</v>
      </c>
      <c r="F10" s="147" t="s">
        <v>361</v>
      </c>
    </row>
    <row r="11" ht="21.75" customHeight="1">
      <c r="B11" s="149" t="s">
        <v>362</v>
      </c>
      <c r="C11" s="150" t="s">
        <v>347</v>
      </c>
      <c r="D11" s="151">
        <f>OPEX_Beneficios!C11</f>
        <v>106110000</v>
      </c>
      <c r="E11" s="29" t="s">
        <v>359</v>
      </c>
      <c r="F11" s="143" t="s">
        <v>363</v>
      </c>
    </row>
    <row r="12" ht="21.75" customHeight="1">
      <c r="B12" s="152" t="s">
        <v>364</v>
      </c>
      <c r="C12" s="153" t="s">
        <v>347</v>
      </c>
      <c r="D12" s="36">
        <f>OPEX_Beneficios!C22</f>
        <v>319492057.6</v>
      </c>
      <c r="E12" s="25" t="s">
        <v>359</v>
      </c>
      <c r="F12" s="147" t="s">
        <v>365</v>
      </c>
    </row>
    <row r="13" ht="14.25" customHeight="1"/>
    <row r="14" ht="14.25" customHeight="1"/>
    <row r="15" ht="18.0" customHeight="1">
      <c r="B15" s="154" t="s">
        <v>366</v>
      </c>
      <c r="C15" s="81"/>
      <c r="D15" s="81"/>
      <c r="E15" s="81"/>
      <c r="F15" s="82"/>
    </row>
    <row r="16" ht="15.75" customHeight="1">
      <c r="B16" s="155" t="s">
        <v>367</v>
      </c>
      <c r="C16" s="156"/>
      <c r="D16" s="155" t="s">
        <v>368</v>
      </c>
      <c r="E16" s="156"/>
      <c r="F16" s="157" t="s">
        <v>345</v>
      </c>
    </row>
    <row r="17" ht="15.75" customHeight="1">
      <c r="B17" s="32">
        <v>0.06</v>
      </c>
      <c r="C17" s="158" t="s">
        <v>347</v>
      </c>
      <c r="D17" s="159">
        <f t="array" ref="D17">NPV(Indicadores!B17,Flujo_de_Caja!D21:M21)+Flujo_de_Caja!C21</f>
        <v>524709812.7</v>
      </c>
      <c r="E17" s="160"/>
      <c r="F17" s="161" t="s">
        <v>369</v>
      </c>
    </row>
    <row r="18" ht="15.75" customHeight="1">
      <c r="B18" s="33">
        <v>0.08</v>
      </c>
      <c r="C18" s="162" t="s">
        <v>347</v>
      </c>
      <c r="D18" s="159">
        <f t="array" ref="D18">NPV(Indicadores!B18,Flujo_de_Caja!D21:M21)+Flujo_de_Caja!C21</f>
        <v>337064611.6</v>
      </c>
      <c r="E18" s="163"/>
      <c r="F18" s="164" t="s">
        <v>370</v>
      </c>
    </row>
    <row r="19" ht="15.75" customHeight="1">
      <c r="B19" s="32">
        <v>0.1</v>
      </c>
      <c r="C19" s="158" t="s">
        <v>347</v>
      </c>
      <c r="D19" s="159">
        <f t="array" ref="D19">NPV(Indicadores!B19,Flujo_de_Caja!D21:M21)+Flujo_de_Caja!C21</f>
        <v>174683035.7</v>
      </c>
      <c r="E19" s="160"/>
      <c r="F19" s="161" t="s">
        <v>371</v>
      </c>
    </row>
    <row r="20" ht="15.75" customHeight="1">
      <c r="B20" s="33">
        <v>0.12</v>
      </c>
      <c r="C20" s="162" t="s">
        <v>347</v>
      </c>
      <c r="D20" s="159">
        <f t="array" ref="D20">NPV(Indicadores!B20,Flujo_de_Caja!D21:M21)+Flujo_de_Caja!C21</f>
        <v>33495819.36</v>
      </c>
      <c r="E20" s="163"/>
      <c r="F20" s="165" t="s">
        <v>372</v>
      </c>
    </row>
    <row r="21" ht="15.75" customHeight="1">
      <c r="B21" s="32">
        <v>0.14</v>
      </c>
      <c r="C21" s="158" t="s">
        <v>347</v>
      </c>
      <c r="D21" s="159">
        <f t="array" ref="D21">NPV(Indicadores!B21,Flujo_de_Caja!D21:M21)+Flujo_de_Caja!C21</f>
        <v>-89826377.7</v>
      </c>
      <c r="E21" s="160"/>
      <c r="F21" s="161" t="s">
        <v>373</v>
      </c>
    </row>
    <row r="22" ht="15.75" customHeight="1">
      <c r="B22" s="33">
        <v>0.16</v>
      </c>
      <c r="C22" s="162" t="s">
        <v>347</v>
      </c>
      <c r="D22" s="159">
        <f t="array" ref="D22">NPV(Indicadores!B22,Flujo_de_Caja!D21:M21)+Flujo_de_Caja!C21</f>
        <v>-198020632</v>
      </c>
      <c r="E22" s="163"/>
      <c r="F22" s="164" t="s">
        <v>374</v>
      </c>
    </row>
    <row r="23" ht="15.75" customHeight="1">
      <c r="B23" s="32">
        <v>0.18</v>
      </c>
      <c r="C23" s="158" t="s">
        <v>347</v>
      </c>
      <c r="D23" s="159">
        <f t="array" ref="D23">NPV(Indicadores!B23,Flujo_de_Caja!D21:M21)+Flujo_de_Caja!C21</f>
        <v>-293347611.1</v>
      </c>
      <c r="E23" s="160"/>
      <c r="F23" s="161" t="s">
        <v>375</v>
      </c>
    </row>
    <row r="24" ht="14.25" customHeight="1"/>
    <row r="25" ht="14.25" customHeight="1"/>
    <row r="26" ht="36.0" customHeight="1">
      <c r="B26" s="166"/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B1:F1"/>
    <mergeCell ref="B26:F26"/>
    <mergeCell ref="B15:F15"/>
    <mergeCell ref="B3:F3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2026-03-23T20:36:13Z</dcterms:created>
  <dc:creator>openpyxl</dc:creator>
</cp:coreProperties>
</file>