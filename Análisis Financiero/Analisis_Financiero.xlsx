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ltimo\Downloads\"/>
    </mc:Choice>
  </mc:AlternateContent>
  <xr:revisionPtr revIDLastSave="0" documentId="8_{6C9461DC-535D-409E-83B1-3131A22EA4BF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Portada" sheetId="1" r:id="rId1"/>
    <sheet name="Supuestos" sheetId="2" r:id="rId2"/>
    <sheet name="CAPEX" sheetId="3" r:id="rId3"/>
    <sheet name="OPEX_Beneficios" sheetId="4" r:id="rId4"/>
    <sheet name="Flujo_de_Caja" sheetId="5" r:id="rId5"/>
    <sheet name="Indicador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5" l="1"/>
  <c r="L19" i="5"/>
  <c r="K19" i="5"/>
  <c r="J19" i="5"/>
  <c r="I19" i="5"/>
  <c r="H19" i="5"/>
  <c r="G19" i="5"/>
  <c r="F19" i="5"/>
  <c r="E19" i="5"/>
  <c r="D19" i="5"/>
  <c r="C19" i="5"/>
  <c r="M18" i="5"/>
  <c r="L18" i="5"/>
  <c r="K18" i="5"/>
  <c r="J18" i="5"/>
  <c r="I18" i="5"/>
  <c r="H18" i="5"/>
  <c r="G18" i="5"/>
  <c r="F18" i="5"/>
  <c r="E18" i="5"/>
  <c r="D18" i="5"/>
  <c r="C18" i="5"/>
  <c r="M17" i="5"/>
  <c r="L17" i="5"/>
  <c r="K17" i="5"/>
  <c r="J17" i="5"/>
  <c r="I17" i="5"/>
  <c r="H17" i="5"/>
  <c r="G17" i="5"/>
  <c r="F17" i="5"/>
  <c r="E17" i="5"/>
  <c r="D17" i="5"/>
  <c r="C17" i="5"/>
  <c r="M16" i="5"/>
  <c r="L16" i="5"/>
  <c r="K16" i="5"/>
  <c r="J16" i="5"/>
  <c r="I16" i="5"/>
  <c r="H16" i="5"/>
  <c r="G16" i="5"/>
  <c r="F16" i="5"/>
  <c r="E16" i="5"/>
  <c r="D16" i="5"/>
  <c r="C16" i="5"/>
  <c r="M15" i="5"/>
  <c r="L15" i="5"/>
  <c r="K15" i="5"/>
  <c r="J15" i="5"/>
  <c r="I15" i="5"/>
  <c r="H15" i="5"/>
  <c r="G15" i="5"/>
  <c r="F15" i="5"/>
  <c r="E15" i="5"/>
  <c r="D15" i="5"/>
  <c r="C15" i="5"/>
  <c r="C14" i="5"/>
  <c r="C20" i="5" s="1"/>
  <c r="C11" i="5"/>
  <c r="M10" i="5"/>
  <c r="L10" i="5"/>
  <c r="K10" i="5"/>
  <c r="J10" i="5"/>
  <c r="I10" i="5"/>
  <c r="H10" i="5"/>
  <c r="G10" i="5"/>
  <c r="F10" i="5"/>
  <c r="E10" i="5"/>
  <c r="D10" i="5"/>
  <c r="C10" i="5"/>
  <c r="M9" i="5"/>
  <c r="L9" i="5"/>
  <c r="K9" i="5"/>
  <c r="J9" i="5"/>
  <c r="I9" i="5"/>
  <c r="H9" i="5"/>
  <c r="G9" i="5"/>
  <c r="F9" i="5"/>
  <c r="E9" i="5"/>
  <c r="D9" i="5"/>
  <c r="C9" i="5"/>
  <c r="M8" i="5"/>
  <c r="L8" i="5"/>
  <c r="K8" i="5"/>
  <c r="J8" i="5"/>
  <c r="I8" i="5"/>
  <c r="H8" i="5"/>
  <c r="G8" i="5"/>
  <c r="F8" i="5"/>
  <c r="E8" i="5"/>
  <c r="D8" i="5"/>
  <c r="C8" i="5"/>
  <c r="M7" i="5"/>
  <c r="L7" i="5"/>
  <c r="K7" i="5"/>
  <c r="J7" i="5"/>
  <c r="I7" i="5"/>
  <c r="G7" i="5"/>
  <c r="E7" i="5"/>
  <c r="D7" i="5"/>
  <c r="C7" i="5"/>
  <c r="C12" i="5" s="1"/>
  <c r="G6" i="5"/>
  <c r="F6" i="5"/>
  <c r="C6" i="5"/>
  <c r="M4" i="5"/>
  <c r="L4" i="5"/>
  <c r="K4" i="5"/>
  <c r="J4" i="5"/>
  <c r="I4" i="5"/>
  <c r="H4" i="5"/>
  <c r="G4" i="5"/>
  <c r="F4" i="5"/>
  <c r="E4" i="5"/>
  <c r="D4" i="5"/>
  <c r="C6" i="4"/>
  <c r="H7" i="5" s="1"/>
  <c r="C5" i="4"/>
  <c r="L6" i="5" s="1"/>
  <c r="H62" i="3"/>
  <c r="H61" i="3"/>
  <c r="F59" i="3"/>
  <c r="H59" i="3" s="1"/>
  <c r="F58" i="3"/>
  <c r="H58" i="3" s="1"/>
  <c r="F57" i="3"/>
  <c r="H57" i="3" s="1"/>
  <c r="F56" i="3"/>
  <c r="H56" i="3" s="1"/>
  <c r="F55" i="3"/>
  <c r="H55" i="3" s="1"/>
  <c r="F54" i="3"/>
  <c r="H54" i="3" s="1"/>
  <c r="F53" i="3"/>
  <c r="H53" i="3" s="1"/>
  <c r="F52" i="3"/>
  <c r="H52" i="3" s="1"/>
  <c r="F51" i="3"/>
  <c r="H51" i="3" s="1"/>
  <c r="F50" i="3"/>
  <c r="H50" i="3" s="1"/>
  <c r="H48" i="3"/>
  <c r="H47" i="3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19" i="3"/>
  <c r="H19" i="3" s="1"/>
  <c r="G18" i="3"/>
  <c r="H18" i="3" s="1"/>
  <c r="G17" i="3"/>
  <c r="H17" i="3" s="1"/>
  <c r="G16" i="3"/>
  <c r="H16" i="3" s="1"/>
  <c r="G15" i="3"/>
  <c r="H15" i="3" s="1"/>
  <c r="G13" i="3"/>
  <c r="H13" i="3" s="1"/>
  <c r="G12" i="3"/>
  <c r="H12" i="3" s="1"/>
  <c r="G11" i="3"/>
  <c r="H11" i="3" s="1"/>
  <c r="G10" i="3"/>
  <c r="H10" i="3" s="1"/>
  <c r="G9" i="3"/>
  <c r="H9" i="3" s="1"/>
  <c r="G6" i="3"/>
  <c r="H6" i="3" s="1"/>
  <c r="G5" i="3"/>
  <c r="H5" i="3" s="1"/>
  <c r="G4" i="3"/>
  <c r="H4" i="3" s="1"/>
  <c r="C54" i="2"/>
  <c r="C48" i="2"/>
  <c r="C24" i="2"/>
  <c r="C49" i="2" s="1"/>
  <c r="C16" i="4" s="1"/>
  <c r="C21" i="2"/>
  <c r="H66" i="3" l="1"/>
  <c r="H68" i="3" s="1"/>
  <c r="G14" i="5"/>
  <c r="G20" i="5" s="1"/>
  <c r="F14" i="5"/>
  <c r="F20" i="5" s="1"/>
  <c r="M14" i="5"/>
  <c r="M20" i="5" s="1"/>
  <c r="E14" i="5"/>
  <c r="E20" i="5" s="1"/>
  <c r="K14" i="5"/>
  <c r="K20" i="5" s="1"/>
  <c r="L14" i="5"/>
  <c r="L20" i="5" s="1"/>
  <c r="D14" i="5"/>
  <c r="D20" i="5" s="1"/>
  <c r="J14" i="5"/>
  <c r="J20" i="5" s="1"/>
  <c r="H14" i="5"/>
  <c r="H20" i="5" s="1"/>
  <c r="C22" i="4"/>
  <c r="I14" i="5"/>
  <c r="I20" i="5" s="1"/>
  <c r="E6" i="5"/>
  <c r="M6" i="5"/>
  <c r="I6" i="5"/>
  <c r="F7" i="5"/>
  <c r="H6" i="5"/>
  <c r="J6" i="5"/>
  <c r="K6" i="5"/>
  <c r="D6" i="5"/>
  <c r="C10" i="4" l="1"/>
  <c r="H69" i="3"/>
  <c r="H70" i="3" s="1"/>
  <c r="D12" i="6"/>
  <c r="D17" i="1"/>
  <c r="D10" i="6" l="1"/>
  <c r="C4" i="5"/>
  <c r="C21" i="5" s="1"/>
  <c r="B17" i="1"/>
  <c r="M11" i="5"/>
  <c r="M12" i="5" s="1"/>
  <c r="M21" i="5" s="1"/>
  <c r="E11" i="5"/>
  <c r="E12" i="5" s="1"/>
  <c r="E21" i="5" s="1"/>
  <c r="I11" i="5"/>
  <c r="I12" i="5" s="1"/>
  <c r="I21" i="5" s="1"/>
  <c r="G11" i="5"/>
  <c r="G12" i="5" s="1"/>
  <c r="G21" i="5" s="1"/>
  <c r="L11" i="5"/>
  <c r="L12" i="5" s="1"/>
  <c r="L21" i="5" s="1"/>
  <c r="D11" i="5"/>
  <c r="D12" i="5" s="1"/>
  <c r="D21" i="5" s="1"/>
  <c r="K11" i="5"/>
  <c r="K12" i="5" s="1"/>
  <c r="K21" i="5" s="1"/>
  <c r="H11" i="5"/>
  <c r="H12" i="5" s="1"/>
  <c r="H21" i="5" s="1"/>
  <c r="J11" i="5"/>
  <c r="J12" i="5" s="1"/>
  <c r="J21" i="5" s="1"/>
  <c r="F11" i="5"/>
  <c r="F12" i="5" s="1"/>
  <c r="F21" i="5" s="1"/>
  <c r="C11" i="4"/>
  <c r="I26" i="5" l="1"/>
  <c r="E26" i="5"/>
  <c r="J26" i="5"/>
  <c r="M26" i="5"/>
  <c r="D11" i="6"/>
  <c r="C17" i="1"/>
  <c r="C23" i="4"/>
  <c r="H26" i="5"/>
  <c r="K26" i="5"/>
  <c r="D23" i="6" a="1"/>
  <c r="D23" i="6" s="1"/>
  <c r="D19" i="6" a="1"/>
  <c r="D19" i="6" s="1"/>
  <c r="D26" i="5"/>
  <c r="D5" i="6" a="1"/>
  <c r="D5" i="6" s="1"/>
  <c r="F17" i="1" s="1"/>
  <c r="D18" i="6" a="1"/>
  <c r="D18" i="6" s="1"/>
  <c r="D22" i="6" a="1"/>
  <c r="D22" i="6" s="1"/>
  <c r="D22" i="5"/>
  <c r="E22" i="5" s="1"/>
  <c r="F22" i="5" s="1"/>
  <c r="G22" i="5" s="1"/>
  <c r="H22" i="5" s="1"/>
  <c r="I22" i="5" s="1"/>
  <c r="J22" i="5" s="1"/>
  <c r="K22" i="5" s="1"/>
  <c r="L22" i="5" s="1"/>
  <c r="M22" i="5" s="1"/>
  <c r="D17" i="6" a="1"/>
  <c r="D17" i="6" s="1"/>
  <c r="D21" i="6" a="1"/>
  <c r="D21" i="6" s="1"/>
  <c r="D20" i="6" a="1"/>
  <c r="D20" i="6" s="1"/>
  <c r="C26" i="5"/>
  <c r="C22" i="5"/>
  <c r="D6" i="6"/>
  <c r="G17" i="1" s="1"/>
  <c r="G26" i="5"/>
  <c r="F26" i="5"/>
  <c r="L26" i="5"/>
  <c r="C24" i="4" l="1"/>
  <c r="D9" i="6"/>
  <c r="D8" i="6"/>
  <c r="E17" i="1"/>
  <c r="D7" i="6"/>
  <c r="H17" i="1" s="1"/>
</calcChain>
</file>

<file path=xl/sharedStrings.xml><?xml version="1.0" encoding="utf-8"?>
<sst xmlns="http://schemas.openxmlformats.org/spreadsheetml/2006/main" count="572" uniqueCount="425">
  <si>
    <t>ANÁLISIS TÉCNICO-ECONÓMICO</t>
  </si>
  <si>
    <t>CELDA ROBÓTICA DE PALETIZADO</t>
  </si>
  <si>
    <t>Línea de Producción de Bebidas — Coca-Cola &amp; Monster Energy</t>
  </si>
  <si>
    <t>Proyecto:</t>
  </si>
  <si>
    <t>Automatización — Celda Robótica de Paletizado</t>
  </si>
  <si>
    <t>Productos:</t>
  </si>
  <si>
    <t>Coca-Cola Retornable 1.5 L  |  Coca-Cola Plástica 2.5 L  |  Monster Energy 500 mL</t>
  </si>
  <si>
    <t>Líneas:</t>
  </si>
  <si>
    <t>Línea 1: Coca-Cola (Retornable + Plástica) — Línea 2: Monster (3 turnos)</t>
  </si>
  <si>
    <t>Capacidad/día:</t>
  </si>
  <si>
    <t>Retornable: 19 800 un/día (1 turno) | Plástica: 115 184 un/día (2 turnos) | Monster: 129 550 un/día (3 turnos)</t>
  </si>
  <si>
    <t>Entidad:</t>
  </si>
  <si>
    <t>Automatización de Procesos de Manufactura 2026-1S</t>
  </si>
  <si>
    <t>Fecha:</t>
  </si>
  <si>
    <t>Marzo 2026</t>
  </si>
  <si>
    <t>Moneda:</t>
  </si>
  <si>
    <t>Pesos Colombianos (COP)  |  TRM referencia: $ 3723,05 COP/USD</t>
  </si>
  <si>
    <t>Horizonte:</t>
  </si>
  <si>
    <t>10 años</t>
  </si>
  <si>
    <t>RESUMEN DE INDICADORES FINANCIEROS CLAVE</t>
  </si>
  <si>
    <t>CAPEX Total</t>
  </si>
  <si>
    <t>OPEX Anual</t>
  </si>
  <si>
    <t>Beneficios Brutos</t>
  </si>
  <si>
    <t>Flujo Neto Anual</t>
  </si>
  <si>
    <t>VPN (10 años)</t>
  </si>
  <si>
    <t>TIR</t>
  </si>
  <si>
    <t>Payback</t>
  </si>
  <si>
    <t>SUPUESTOS Y PARÁMETROS DEL MODELO</t>
  </si>
  <si>
    <t>PRODUCCIÓN DIARIA (Base Simulación)</t>
  </si>
  <si>
    <t>Parámetro</t>
  </si>
  <si>
    <t>Valor</t>
  </si>
  <si>
    <t>Unidad</t>
  </si>
  <si>
    <t>Nota / Fuente</t>
  </si>
  <si>
    <t>Coca-Cola Retornable 1.5 L</t>
  </si>
  <si>
    <t>un/día</t>
  </si>
  <si>
    <t>1 turno/día</t>
  </si>
  <si>
    <t>Coca-Cola Plástica 2.5 L</t>
  </si>
  <si>
    <t>2 turnos/día</t>
  </si>
  <si>
    <t>Monster Energy 500 mL</t>
  </si>
  <si>
    <t>3 turnos/día</t>
  </si>
  <si>
    <t>Días laborables / año</t>
  </si>
  <si>
    <t>días</t>
  </si>
  <si>
    <t>Operación continua</t>
  </si>
  <si>
    <t>PARÁMETROS ECONÓMICOS</t>
  </si>
  <si>
    <t>TRM referencia</t>
  </si>
  <si>
    <t>COP/USD</t>
  </si>
  <si>
    <t xml:space="preserve"> 24/03/2026</t>
  </si>
  <si>
    <t>Tasa de descuento (WACC)</t>
  </si>
  <si>
    <t>Incluye prima de riesgo Colombia</t>
  </si>
  <si>
    <t>Inflación anual esperada</t>
  </si>
  <si>
    <t>Meta BanRep promedio</t>
  </si>
  <si>
    <t>Crecimiento demanda bebidas/año</t>
  </si>
  <si>
    <t>Proyección sector bebidas Colombia</t>
  </si>
  <si>
    <t>PARÁMETROS DE MANO DE OBRA</t>
  </si>
  <si>
    <t>Salario mensual operador base</t>
  </si>
  <si>
    <t>COP/mes</t>
  </si>
  <si>
    <t>SMV 2026 — Decreto 2671 de 2025</t>
  </si>
  <si>
    <t>Factor prestaciones sociales</t>
  </si>
  <si>
    <t>Vacaciones, cesantías, EPS, ARL, etc.</t>
  </si>
  <si>
    <t>Salario + prestaciones operador</t>
  </si>
  <si>
    <t>Costo real por trabajador</t>
  </si>
  <si>
    <t>Operadores paletizado (antes)</t>
  </si>
  <si>
    <t>operadores</t>
  </si>
  <si>
    <t>2 por celda × 2 líneas × ~2.5 turnos</t>
  </si>
  <si>
    <t>Operadores remanentes (después)</t>
  </si>
  <si>
    <t>Supervisores / apoyo</t>
  </si>
  <si>
    <t>Operadores suprimidos</t>
  </si>
  <si>
    <t>PARÁMETROS DE ENERGÍA</t>
  </si>
  <si>
    <t>Potencia robot Línea 1 (Coca-Cola)</t>
  </si>
  <si>
    <t>kW</t>
  </si>
  <si>
    <t xml:space="preserve">ABB IRB 660 — dato técnico </t>
  </si>
  <si>
    <t>Potencia robot Línea 2 (Monster)</t>
  </si>
  <si>
    <t>ABB IRB 460 — menor consumo que IRB 660</t>
  </si>
  <si>
    <t>Potencia conveyors y auxiliares</t>
  </si>
  <si>
    <t>Transportadores + actuadores</t>
  </si>
  <si>
    <t>Horas operación promedio / día</t>
  </si>
  <si>
    <t>h</t>
  </si>
  <si>
    <t>Promedio ponderado 3 líneas</t>
  </si>
  <si>
    <t>Tarifa energía eléctrica industrial</t>
  </si>
  <si>
    <t>COP/kWh</t>
  </si>
  <si>
    <t>Tarifa industrial media Colombia 2026</t>
  </si>
  <si>
    <t>Potencia adicional Clearpack + Stretch wrapper</t>
  </si>
  <si>
    <t>Clearpack EFK250L: ~12 kW (sealer+túnel) + Robopac: ~1,5 kW</t>
  </si>
  <si>
    <t>PARÁMETROS DE PALETIZADO</t>
  </si>
  <si>
    <t>Unidades / paca Coca-Cola Ret.</t>
  </si>
  <si>
    <t>un/caja</t>
  </si>
  <si>
    <t xml:space="preserve"> paca retornable estándar</t>
  </si>
  <si>
    <t>Unidades / paca Coca-Cola Plás.</t>
  </si>
  <si>
    <t>paca 6×2.5 L</t>
  </si>
  <si>
    <t>Unidades / caja Monster</t>
  </si>
  <si>
    <t>Caja estándar latas</t>
  </si>
  <si>
    <t>Capas / pallet Coca-Cola</t>
  </si>
  <si>
    <t>capas</t>
  </si>
  <si>
    <t>Capas / pallet Monster</t>
  </si>
  <si>
    <t>Pacas / capa Coca-Cola</t>
  </si>
  <si>
    <t>cajas</t>
  </si>
  <si>
    <t>Pacas / capa Monster</t>
  </si>
  <si>
    <t>PARÁMETROS DE EMPAQUE  (Línea Monster — Clearpack EFK250L)</t>
  </si>
  <si>
    <t>Operadores empaque suprimidos por turno</t>
  </si>
  <si>
    <t>Línea Monster — empaque manual → automático</t>
  </si>
  <si>
    <t>Turnos línea Monster</t>
  </si>
  <si>
    <t>turnos</t>
  </si>
  <si>
    <t>Operación continua 24 h</t>
  </si>
  <si>
    <t>Operadores empaque suprimidos (total)</t>
  </si>
  <si>
    <t>Cálculo: op/turno × turnos</t>
  </si>
  <si>
    <t>Total operadores suprimidos (paletizado + empaque)</t>
  </si>
  <si>
    <t>Suma de C24 (paletizado) + C48 (empaque)</t>
  </si>
  <si>
    <t>HONORARIOS EQUIPO MECATRÓNICO  (Servicios de Ingeniería)</t>
  </si>
  <si>
    <t>Número de ingenieros</t>
  </si>
  <si>
    <t>personas</t>
  </si>
  <si>
    <t>Equipo mecatrónico del proyecto</t>
  </si>
  <si>
    <t>Honorarios totales del equipo</t>
  </si>
  <si>
    <t>COP</t>
  </si>
  <si>
    <t>Cálculo: nº ingenieros × meses × sueldo mensual</t>
  </si>
  <si>
    <t>Duración del proyecto</t>
  </si>
  <si>
    <t>meses</t>
  </si>
  <si>
    <t>Cronograma estimado del proyecto</t>
  </si>
  <si>
    <t>Sueldo mensual por ingeniero</t>
  </si>
  <si>
    <t>Tarifa promedio mecatrónico junior calificado Colombia 2026</t>
  </si>
  <si>
    <t>CAPEX — INVERSIÓN INICIAL  |  CELDA ROBÓTICA DE PALETIZADO</t>
  </si>
  <si>
    <t>Ítem</t>
  </si>
  <si>
    <t>Concepto</t>
  </si>
  <si>
    <t>Cant.</t>
  </si>
  <si>
    <t>Unid.</t>
  </si>
  <si>
    <t>P. Unit. Base (COP)</t>
  </si>
  <si>
    <t>Arancel + Ship. (COP)</t>
  </si>
  <si>
    <t>Total (COP)</t>
  </si>
  <si>
    <t>Ref. USD (unit.)</t>
  </si>
  <si>
    <t>Enlace / Fuente</t>
  </si>
  <si>
    <t>1.  ROBOTS INDUSTRIALES Y CONTROLADORES</t>
  </si>
  <si>
    <t>1.1</t>
  </si>
  <si>
    <t>Robot ABB IRB 660-3.15/250 — Línea 1 (Coca-Cola)
Robot paletizador 4 ejes, alcance 3,15 m, carga máx. 250 kg.</t>
  </si>
  <si>
    <t>und</t>
  </si>
  <si>
    <t>~62 000 USD</t>
  </si>
  <si>
    <t>https://new.abb.com/products/robotics/robots/palletizing-robots/irb-660</t>
  </si>
  <si>
    <t>1.2</t>
  </si>
  <si>
    <t>Robot ABB IRB 460-2.40/110 — Línea 2 (Monster)
Robot paletizador 4 ejes, alcance 2,40 m, carga máx. 110 kg.</t>
  </si>
  <si>
    <t>~38 000 USD</t>
  </si>
  <si>
    <t>https://new.abb.com/products/robotics/robots/palletizing-robots/irb-460</t>
  </si>
  <si>
    <t>1.3</t>
  </si>
  <si>
    <t>Controlador IRC5 — ABB
Incluye FlexPendant táctil, módulo de movimiento y armario estándar.</t>
  </si>
  <si>
    <t>~12 500 USD</t>
  </si>
  <si>
    <t>https://new.abb.com/products/robotics/controllers/irc5</t>
  </si>
  <si>
    <t>2.  HERRAMIENTAS DE AGARRE (EOAT) Y SISTEMAS NEUMÁTICOS</t>
  </si>
  <si>
    <t xml:space="preserve">  Línea 1 — Coca-Cola (Retornable 1.5 L + Plástica 2.5 L):  Clamp Gripper Neumático</t>
  </si>
  <si>
    <t>2.1</t>
  </si>
  <si>
    <t>EOAT L1: Clamp gripper neumático para cajas Coca-Cola
Accionamiento neumático con mordazas paralelas y superficies antideslizantes.</t>
  </si>
  <si>
    <t>~9 000 USD</t>
  </si>
  <si>
    <t>https://schunk.com/co_es/productos/sujecion/</t>
  </si>
  <si>
    <t>2.2</t>
  </si>
  <si>
    <t>Unidad FRL (filtro-regulador-lubricador) L1</t>
  </si>
  <si>
    <t>~1 800 USD</t>
  </si>
  <si>
    <t>https://www.festo.com/co/es/</t>
  </si>
  <si>
    <t>2.3</t>
  </si>
  <si>
    <t>Válvulas distribuidoras 5/2 doble solenoide L1 — Festo</t>
  </si>
  <si>
    <t>~600 USD c/u</t>
  </si>
  <si>
    <t>2.4</t>
  </si>
  <si>
    <t>Tuberías, racores y accesorios neumáticos L1</t>
  </si>
  <si>
    <t>global</t>
  </si>
  <si>
    <t>~1 200 USD</t>
  </si>
  <si>
    <t>2.5</t>
  </si>
  <si>
    <t>Sensor de presión neumática L1
Verificación de agarre efectivo antes del traslado.</t>
  </si>
  <si>
    <t>~400 USD c/u</t>
  </si>
  <si>
    <t xml:space="preserve">  Línea 2 — Monster Energy (Cajas de 24 latas):  Clamp Gripper Neumático</t>
  </si>
  <si>
    <t>2.6</t>
  </si>
  <si>
    <t>EOAT L2: Clamp gripper neumático para cajas Monster (24 latas)
Accionamiento neumático con mordazas paralelas dimensionadas para cajas de cartón.</t>
  </si>
  <si>
    <t>~5 000 USD</t>
  </si>
  <si>
    <t>2.7</t>
  </si>
  <si>
    <t>Unidad FRL (filtro-regulador-lubricador) L2</t>
  </si>
  <si>
    <t>2.8</t>
  </si>
  <si>
    <t>Válvulas distribuidoras 5/2 doble solenoide L2 — Festo</t>
  </si>
  <si>
    <t>2.9</t>
  </si>
  <si>
    <t>Tuberías, racores y accesorios neumáticos L2</t>
  </si>
  <si>
    <t>~800 USD</t>
  </si>
  <si>
    <t>2.10</t>
  </si>
  <si>
    <t>Sensor de presión neumática L2
Verificación de agarre efectivo del clamp gripper.</t>
  </si>
  <si>
    <t>3.  SISTEMA DE CONTROL ELÉCTRICO E INDUSTRIAL  (por línea × 2)</t>
  </si>
  <si>
    <t>3.1</t>
  </si>
  <si>
    <t>PLC Allen-Bradley ControlLogix 5580 — chasis 8 ranuras (1756-L83E)
Procesador 40 ns/instrucción, 3 MB mem. usuario, EtherNet/IP integrado.</t>
  </si>
  <si>
    <t>~8 000 USD</t>
  </si>
  <si>
    <t>https://www.rockwellautomation.com/es-CO/products/hardware/allen-bradley/logix/controllogix-family.html</t>
  </si>
  <si>
    <t>3.2</t>
  </si>
  <si>
    <t>Fuente de alimentación 24 VDC – 10 A (1756-PA75R)</t>
  </si>
  <si>
    <t>~550 USD</t>
  </si>
  <si>
    <t>https://www.rockwellautomation.com/</t>
  </si>
  <si>
    <t>3.3</t>
  </si>
  <si>
    <t>Módulo entradas digitales 16 ch – 24 VDC (1756-IB16D)
Sensores posición, finales de carrera, botones de operador.</t>
  </si>
  <si>
    <t>~420 USD</t>
  </si>
  <si>
    <t>3.4</t>
  </si>
  <si>
    <t>Módulo salidas digitales 16 ch – 24 VDC (1756-OB16D)
Actuadores, solenoides neumáticos, semáforos de seguridad.</t>
  </si>
  <si>
    <t>3.5</t>
  </si>
  <si>
    <t>Módulo entradas analógicas 8 ch – ±10 V / 4-20 mA (1756-IF8)
Sensores de presión neumática y celdas de carga.</t>
  </si>
  <si>
    <t>~650 USD</t>
  </si>
  <si>
    <t>3.6</t>
  </si>
  <si>
    <t>HMI PanelView Plus 7 – 10" touch color (2711P-T10C22D9P)
Interfaz operador local por celda. Integración FactoryTalk View.</t>
  </si>
  <si>
    <t>~3 500 USD</t>
  </si>
  <si>
    <t>3.7</t>
  </si>
  <si>
    <t>Switch EtherNet/IP industrial 8 puertos (1783-US8T)
Red de comunicaciones PLC ↔ Robot ↔ SCADA.</t>
  </si>
  <si>
    <t>~900 USD</t>
  </si>
  <si>
    <t>3.8</t>
  </si>
  <si>
    <t>Breaker principal trifásico 3P – 60 A (Schneider NSX160B)</t>
  </si>
  <si>
    <t>~350 USD</t>
  </si>
  <si>
    <t>https://www.se.com/co/es/</t>
  </si>
  <si>
    <t>3.9</t>
  </si>
  <si>
    <t>Interruptores termomagnéticos 2P – 20 A (ramales internos)
Protección individual robot, HMI, ventilación y circuitos 24 VDC.</t>
  </si>
  <si>
    <t>~60 USD c/u</t>
  </si>
  <si>
    <t>3.10</t>
  </si>
  <si>
    <t>Gabinete eléctrico NEMA 4 / IP54 – 1 200×800×300 mm (RAL 7035)
Chapa 14 AWG, ventilación forzada con filtro, cerradura.</t>
  </si>
  <si>
    <t>~2 800 USD</t>
  </si>
  <si>
    <t>https://www.rittal.com/co-es/</t>
  </si>
  <si>
    <t>3.11</t>
  </si>
  <si>
    <t>Canaleta ranurada, riel DIN, borneras y accesorios de montaje
Canaleta 60×40 mm, riel C 35 mm, borneras 2,5 mm², etiquetas.</t>
  </si>
  <si>
    <t>~1 500 USD</t>
  </si>
  <si>
    <t>https://www.wago.com/co/</t>
  </si>
  <si>
    <t>3.12</t>
  </si>
  <si>
    <t>Cableado de fuerza y control — cable, tubería EMT y bandejas
Cable 4×4 mm² fuerza robot, AWG 16 control, conduit EMT ½" y ¾".</t>
  </si>
  <si>
    <t>~4 500 USD</t>
  </si>
  <si>
    <t>Contratista eléctrico especializado</t>
  </si>
  <si>
    <t>4.  SISTEMAS AUXILIARES, TRANSPORTE Y ENVOLTURA</t>
  </si>
  <si>
    <t>4.1</t>
  </si>
  <si>
    <t>Conveyor de entrada de cajas — Línea 1 (Coca-Cola)
Conveyor de rodillos accionado, longitud ~10 m, velocidad 0,3 m/s.</t>
  </si>
  <si>
    <t>sistema</t>
  </si>
  <si>
    <t>~10 000 USD</t>
  </si>
  <si>
    <t>https://www.interroll.com/es/</t>
  </si>
  <si>
    <t>4.2</t>
  </si>
  <si>
    <t>Conveyor de entrada de cajas — Línea 2 (Monster)
Conveyor de banda plana, longitud ~10 m.</t>
  </si>
  <si>
    <t>4.3</t>
  </si>
  <si>
    <t>Conveyor de triple cadena — salida de palets cargados L1
Cadenas reforzadas 3/4".</t>
  </si>
  <si>
    <t>~7 500 USD</t>
  </si>
  <si>
    <t>4.4</t>
  </si>
  <si>
    <t>Conveyor de triple cadena — salida de palets cargados L2
Cadenas reforzadas 3/4".</t>
  </si>
  <si>
    <t>4.5</t>
  </si>
  <si>
    <t>Dispensador automático de palets vacíos + banda alimentadora L1</t>
  </si>
  <si>
    <t>~6 000 USD</t>
  </si>
  <si>
    <t>Fabricación local / Interroll</t>
  </si>
  <si>
    <t>4.6</t>
  </si>
  <si>
    <t>Dispensador automático de palets vacíos + banda alimentadora L2</t>
  </si>
  <si>
    <t>4.7</t>
  </si>
  <si>
    <t>Banda plana PVC — ingreso de láminas de cartón (slip-sheets) L1
Banda lisa de PVC desde el punto de carga externo hasta el interior de la celda L1.</t>
  </si>
  <si>
    <t>4.8</t>
  </si>
  <si>
    <t>Envolvedora automática (Stretch Wrapper) Robopac Helix Pro o equivalente</t>
  </si>
  <si>
    <t>~40 000 USD</t>
  </si>
  <si>
    <t>https://www.robopac.com/</t>
  </si>
  <si>
    <t>4.9</t>
  </si>
  <si>
    <t>Shrink Wrapper Automático Clearpack EFK250L + Túnel 50ST25 — Línea 2 (Monster)
Envolvedora termoencogible automática con túnel de calor (POF/LDPE).
Agrupa latas Monster en multipacks de 24 unidades.</t>
  </si>
  <si>
    <t>~30 000 USD</t>
  </si>
  <si>
    <t>https://www.clearpack.com/shrink-wrapping/efk-series</t>
  </si>
  <si>
    <t>4.10</t>
  </si>
  <si>
    <t>Sistema de seguridad perimetral — vallas y cortinas de luz
Cortinas láser Sick C4000 (PL=d), vallado metálico H=2 m.</t>
  </si>
  <si>
    <t>~4 500 USD c/u</t>
  </si>
  <si>
    <t>https://www.sick.com/co/es/</t>
  </si>
  <si>
    <t>4.11</t>
  </si>
  <si>
    <t>Semáforos y señalización luminosa — stack lights</t>
  </si>
  <si>
    <t>~300 USD c/u</t>
  </si>
  <si>
    <t>https://www.patlite.com/</t>
  </si>
  <si>
    <t>4.12</t>
  </si>
  <si>
    <t>Sensores de posición y presencia de cajas (fotoceldas) — Keyence PZ2</t>
  </si>
  <si>
    <t>~280 USD c/u</t>
  </si>
  <si>
    <t>https://www.keyence.com.co/</t>
  </si>
  <si>
    <t>5.  SERVICIOS DE INGENIERÍA, INSTALACIÓN Y PUESTA EN MARCHA</t>
  </si>
  <si>
    <t>5.1</t>
  </si>
  <si>
    <t>Licencias software — Studio 5000 Logix Designer v35
2 licencias profesionales + soporte 1 año.</t>
  </si>
  <si>
    <t>lic.</t>
  </si>
  <si>
    <t>~2 800 USD c/u</t>
  </si>
  <si>
    <t>5.2</t>
  </si>
  <si>
    <t>Licencias software — RobotStudio ABB
Programación offline y gemelo digital de los 2 robots.</t>
  </si>
  <si>
    <t>~2 500 USD</t>
  </si>
  <si>
    <t>https://new.abb.com/products/robotics/robotstudio</t>
  </si>
  <si>
    <t xml:space="preserve">  ⮞  HONORARIOS DEL EQUIPO MECATRÓNICO</t>
  </si>
  <si>
    <t>5.3</t>
  </si>
  <si>
    <t>Visita técnica y levantamiento de información</t>
  </si>
  <si>
    <t>4 %</t>
  </si>
  <si>
    <t>5.4</t>
  </si>
  <si>
    <t>Determinación de tareas de control</t>
  </si>
  <si>
    <t>6 %</t>
  </si>
  <si>
    <t>5.5</t>
  </si>
  <si>
    <t>Programación de lógica en PLC</t>
  </si>
  <si>
    <t>18 %</t>
  </si>
  <si>
    <t>5.6</t>
  </si>
  <si>
    <t>Programación de control regulatorio</t>
  </si>
  <si>
    <t>10 %</t>
  </si>
  <si>
    <t>5.7</t>
  </si>
  <si>
    <t>Programación de HMI</t>
  </si>
  <si>
    <t>12 %</t>
  </si>
  <si>
    <t>5.8</t>
  </si>
  <si>
    <t>Programación de recetas</t>
  </si>
  <si>
    <t>8 %</t>
  </si>
  <si>
    <t>5.9</t>
  </si>
  <si>
    <t>Instalación, comisionamiento y puesta en marcha</t>
  </si>
  <si>
    <t>20 %</t>
  </si>
  <si>
    <t>5.10</t>
  </si>
  <si>
    <t>Documentación — Programa y planos de alambrado</t>
  </si>
  <si>
    <t>5.11</t>
  </si>
  <si>
    <t>Capacitación del personal de planta (técnico y de operaciones)</t>
  </si>
  <si>
    <t>5.12</t>
  </si>
  <si>
    <t>Pruebas FAT (Factory Acceptance Test) y SAT (Site Acceptance Test)</t>
  </si>
  <si>
    <t xml:space="preserve">  Otros servicios externos (no incluidos en honorarios del equipo)</t>
  </si>
  <si>
    <t>5.13</t>
  </si>
  <si>
    <t>Instalación mecánica y eléctrica (contratista externo)</t>
  </si>
  <si>
    <t>~8 500 USD</t>
  </si>
  <si>
    <t>Contratista especializado Colombia</t>
  </si>
  <si>
    <t>5.14</t>
  </si>
  <si>
    <t>Obra civil y adecuaciones de planta</t>
  </si>
  <si>
    <t>~4 800 USD</t>
  </si>
  <si>
    <t>Presupuesto obra civil local</t>
  </si>
  <si>
    <t>6.  IMPREVISTOS Y CONTINGENCIA  (5 %)</t>
  </si>
  <si>
    <t>6.1</t>
  </si>
  <si>
    <t>Imprevistos y contingencia — 5 % sobre subtotal</t>
  </si>
  <si>
    <t>CAPEX SUBTOTAL  (sin IVA)</t>
  </si>
  <si>
    <t>IVA  (19 %)</t>
  </si>
  <si>
    <t>CAPEX TOTAL  (con IVA 19 %)  ◀  referencia para flujo de caja</t>
  </si>
  <si>
    <t>Nota: Precios USD convertidos con TRM = $3 723,05 COP/USD (24/03/2026). Arancel + shipping estimado en 10 % sobre precio base importado (excluye IVA nacional). Los ítems 5.3 a 5.12 corresponden a los honorarios del equipo mecatrónico — ver detalle en hoja Supuestos.</t>
  </si>
  <si>
    <t>OPEX ANUAL Y BENEFICIOS — CELDA ROBÓTICA DE PALETIZADO</t>
  </si>
  <si>
    <t>COSTOS OPERATIVOS ANUALES (OPEX)</t>
  </si>
  <si>
    <t>Costo Anual (COP)</t>
  </si>
  <si>
    <t>Referencia</t>
  </si>
  <si>
    <t>Nota / Base de Cálculo</t>
  </si>
  <si>
    <t>Mantenimiento preventivo anual (robots + envolvedoras)</t>
  </si>
  <si>
    <t>Contrato ABB</t>
  </si>
  <si>
    <t>2,5 % sobre precio robots, controladores, stretch wrapper y Clearpack / año</t>
  </si>
  <si>
    <t>Consumo energía eléctrica (2 robots + conveyors)</t>
  </si>
  <si>
    <t>Cálculo Supuestos!</t>
  </si>
  <si>
    <t>Cálculo: (Pot. robot L1 + L2 + conveyors + Clearpack/stretch) × horas/día × días/año × tarifa kWh</t>
  </si>
  <si>
    <t>Licencias software anuales
(Studio 5000, RobotStudio, FactoryTalk View)</t>
  </si>
  <si>
    <t>Rockwell / ABB</t>
  </si>
  <si>
    <t>Renovación anual de licencias de programación y supervisión</t>
  </si>
  <si>
    <t>Repuestos consumibles y lubricantes
(correas, filtros, grasa)</t>
  </si>
  <si>
    <t>Stock mínimo</t>
  </si>
  <si>
    <t>Estimado sobre historial mantenimiento robots similares- celdas</t>
  </si>
  <si>
    <t>Supervisión técnica especializada
(1 técnico robótica a tiempo parcial)</t>
  </si>
  <si>
    <t>Perfil técnico SENA/Univ.</t>
  </si>
  <si>
    <t>~$1,500,000 COP/mes × 12 meses</t>
  </si>
  <si>
    <t>Seguros maquinaria y responsabilidad civil</t>
  </si>
  <si>
    <t>Aseguradora</t>
  </si>
  <si>
    <t>Prima anual estimada 0,8 % sobre CAPEX subtotal (sin IVA)</t>
  </si>
  <si>
    <t>TOTAL OPEX ANUAL (Año 1)</t>
  </si>
  <si>
    <t>BENEFICIOS / AHORROS ANUALES ESTIMADOS</t>
  </si>
  <si>
    <t>Valor Anual (COP)</t>
  </si>
  <si>
    <t>Base de Cálculo</t>
  </si>
  <si>
    <t>Reducción costo mano de obra
(operadores paletizado suprimidos)</t>
  </si>
  <si>
    <t>Cálculo: Total Op. suprimidos (paletizado + empaque) × (Salario + Prestaciones) × 12 meses. Incluye los 8 operadores de paletizado + 9 operadores de empaque (3/turno × 3 turnos) reemplazados por la Clearpack EFK250L.</t>
  </si>
  <si>
    <t>Reducción tiempos de parada
por lesiones/accidentes en paletizado</t>
  </si>
  <si>
    <t>HSE interno</t>
  </si>
  <si>
    <t>Promedio 2 paradas/mes × 30 min × costo oportunidad</t>
  </si>
  <si>
    <t>Reducción pérdidas de producto
por manejo manual deficiente</t>
  </si>
  <si>
    <t>Control Calidad</t>
  </si>
  <si>
    <t>Reducción tasa daño 0.08% sobre producción anual</t>
  </si>
  <si>
    <t>Reducción horas extra
(paletizado manual lento → cuellos de botella)</t>
  </si>
  <si>
    <t>RRHH</t>
  </si>
  <si>
    <t>Estimado reducción 2 h extra/semana × 52 semanas</t>
  </si>
  <si>
    <t>Mejora en disponibilidad OEE
(automatización elimina variabilidad humana)</t>
  </si>
  <si>
    <t>Indicadores OEE</t>
  </si>
  <si>
    <t>Aumento estimado 1-2% OEE sobre línea</t>
  </si>
  <si>
    <t>Reducción ausentismo y gastos ARL
(eliminación tarea ergonómicamente riesgosa)</t>
  </si>
  <si>
    <t>ARL Sura / Positiva</t>
  </si>
  <si>
    <t>Reducción incidentes músculo-esqueléticos paletizado</t>
  </si>
  <si>
    <t>TOTAL BENEFICIOS ANUALES BRUTOS (Año 1)</t>
  </si>
  <si>
    <t>FLUJO NETO ANUAL (Beneficios − OPEX)</t>
  </si>
  <si>
    <t>FLUJO DE CAJA — CELDA ROBÓTICA DE PALETIZADO (Horizonte 10 años)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</si>
  <si>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</si>
  <si>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</si>
  <si>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</si>
  <si>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</si>
  <si>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</si>
  <si>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</si>
  <si>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</si>
  <si>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</si>
  <si>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</si>
  <si>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</si>
  <si>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</si>
  <si>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INVERSIÓN (CAPEX)</t>
  </si>
  <si>
    <t>CAPEX Total (con IVA)</t>
  </si>
  <si>
    <t>COSTOS OPERATIVOS (OPEX)</t>
  </si>
  <si>
    <t>Mantenimiento preventivo</t>
  </si>
  <si>
    <t>Energía eléctrica</t>
  </si>
  <si>
    <t>Licencias software</t>
  </si>
  <si>
    <t>Repuestos y consumibles</t>
  </si>
  <si>
    <t>Supervisión técnica</t>
  </si>
  <si>
    <t>Seguros maquinaria</t>
  </si>
  <si>
    <t>TOTAL OPEX</t>
  </si>
  <si>
    <t>BENEFICIOS / AHORROS</t>
  </si>
  <si>
    <t>Reducción MO paletizado</t>
  </si>
  <si>
    <t>Reducción tiempos parada</t>
  </si>
  <si>
    <t>Reducción pérdidas producto</t>
  </si>
  <si>
    <t>Reducción horas extra</t>
  </si>
  <si>
    <t>Mejora OEE</t>
  </si>
  <si>
    <t>Reducción ausentismo/ARL</t>
  </si>
  <si>
    <t>TOTAL BENEFICIOS</t>
  </si>
  <si>
    <t>FLUJO NETO DEL PERÍODO</t>
  </si>
  <si>
    <t>FLUJO ACUMULADO</t>
  </si>
  <si>
    <t>FLUJO DESCONTADO (WACC = 12%)</t>
  </si>
  <si>
    <t>FLUJO DESCONTADO (WACC = 12 %)</t>
  </si>
  <si>
    <t>INDICADORES FINANCIEROS — CELDA ROBÓTICA DE PALETIZADO</t>
  </si>
  <si>
    <t>INDICADORES CLAVE DE RENTABILIDAD</t>
  </si>
  <si>
    <t>Indicador</t>
  </si>
  <si>
    <t>Interpretación</t>
  </si>
  <si>
    <t>VPN — Valor Presente Neto</t>
  </si>
  <si>
    <t>→</t>
  </si>
  <si>
    <t>VPN &gt; 0: el proyecto genera valor. VPN &lt; 0: no rentable al WACC dado.</t>
  </si>
  <si>
    <t>TIR — Tasa Interna de Retorno</t>
  </si>
  <si>
    <t>%</t>
  </si>
  <si>
    <t>TIR &gt; WACC (12%): proyecto viable. TIR &lt; WACC: rechazar.</t>
  </si>
  <si>
    <t>Payback simple</t>
  </si>
  <si>
    <t>años</t>
  </si>
  <si>
    <t>Período de recuperación sin descontar la inversión.</t>
  </si>
  <si>
    <t>ROI — Retorno sobre Inversión (10 años)</t>
  </si>
  <si>
    <t>Retorno total sobre el CAPEX a 10 años (sin descontar).</t>
  </si>
  <si>
    <t>Flujo Neto Anual (Año 1)</t>
  </si>
  <si>
    <t>COP/año</t>
  </si>
  <si>
    <t>Beneficios anuales brutos menos OPEX del primer año.</t>
  </si>
  <si>
    <t>Inversión inicial total incluyendo IVA (19%).</t>
  </si>
  <si>
    <t>OPEX Anual (Año 1)</t>
  </si>
  <si>
    <t>Costos operativos del primer año de operación.</t>
  </si>
  <si>
    <t>Beneficios Brutos Anuales (Año 1)</t>
  </si>
  <si>
    <t>Total ahorros y beneficios cuantificables del primer año.</t>
  </si>
  <si>
    <t>ANÁLISIS DE SENSIBILIDAD — WACC vs VPN</t>
  </si>
  <si>
    <t>Tasa de descuento</t>
  </si>
  <si>
    <t>VPN Resultante (COP)</t>
  </si>
  <si>
    <t>Muy favorable</t>
  </si>
  <si>
    <t>Favorable</t>
  </si>
  <si>
    <t>Bueno</t>
  </si>
  <si>
    <t>Base (WACC) ✔ BASE</t>
  </si>
  <si>
    <t>Ajustado</t>
  </si>
  <si>
    <t>Exigente</t>
  </si>
  <si>
    <t>Muy exigente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</si>
</sst>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&quot; COP&quot;;\(#,##0&quot; COP)&quot;;\-"/>
    <numFmt numFmtId="165" formatCode="0.00%;\(0.00%\);\-"/>
    <numFmt numFmtId="166" formatCode="0.00&quot; años&quot;"/>
    <numFmt numFmtId="167" formatCode="#,##0;\(#,##0\);\-"/>
    <numFmt numFmtId="168" formatCode="#,##0.00&quot; COP/USD&quot;"/>
    <numFmt numFmtId="169" formatCode="0.00\x"/>
    <numFmt numFmtId="170" formatCode="0.0&quot; kW&quot;"/>
    <numFmt numFmtId="171" formatCode="0.0&quot; h&quot;"/>
    <numFmt numFmtId="172" formatCode="#,##0&quot; COP/kWh&quot;"/>
  </numFmts>
  <fonts count="31" x14ac:knownFonts="1">
    <font>
      <sz val="11"/>
      <color theme="1"/>
      <name val="Calibri"/>
      <charset val="1"/>
    </font>
    <font>
      <b/>
      <sz val="22"/>
      <color rgb="FFFFFFFF"/>
      <name val="Arial"/>
      <charset val="1"/>
    </font>
    <font>
      <b/>
      <sz val="18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F2F2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505050"/>
      <name val="Arial"/>
      <charset val="1"/>
    </font>
    <font>
      <i/>
      <sz val="8"/>
      <color rgb="FF606060"/>
      <name val="Arial"/>
      <charset val="1"/>
    </font>
    <font>
      <i/>
      <sz val="8"/>
      <color rgb="FF595959"/>
      <name val="Arial"/>
      <charset val="1"/>
    </font>
    <font>
      <b/>
      <sz val="9"/>
      <color rgb="FF1F3864"/>
      <name val="Arial"/>
      <charset val="1"/>
    </font>
    <font>
      <b/>
      <sz val="9"/>
      <color rgb="FF000000"/>
      <name val="Arial"/>
      <charset val="1"/>
    </font>
    <font>
      <sz val="9"/>
      <name val="Arial"/>
      <charset val="1"/>
    </font>
    <font>
      <sz val="8"/>
      <color rgb="FF000000"/>
      <name val="Arial"/>
      <charset val="1"/>
    </font>
    <font>
      <sz val="9"/>
      <color rgb="FF008000"/>
      <name val="Arial"/>
      <charset val="1"/>
    </font>
    <font>
      <i/>
      <sz val="8"/>
      <color rgb="FF000000"/>
      <name val="Arial"/>
      <charset val="1"/>
    </font>
    <font>
      <i/>
      <sz val="8"/>
      <color rgb="FF50505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theme="1"/>
      <name val="Arial"/>
      <charset val="1"/>
    </font>
    <font>
      <b/>
      <sz val="11"/>
      <color rgb="FF1F3864"/>
      <name val="Arial"/>
      <charset val="1"/>
    </font>
    <font>
      <i/>
      <sz val="8"/>
      <color rgb="FF404040"/>
      <name val="Arial"/>
      <charset val="1"/>
    </font>
    <font>
      <sz val="9"/>
      <color rgb="FF595959"/>
      <name val="Arial"/>
      <charset val="1"/>
    </font>
    <font>
      <b/>
      <sz val="11"/>
      <color rgb="FF595959"/>
      <name val="Arial"/>
      <charset val="1"/>
    </font>
    <font>
      <i/>
      <sz val="9"/>
      <color rgb="FF505050"/>
      <name val="Arial"/>
      <charset val="1"/>
    </font>
    <font>
      <b/>
      <i/>
      <sz val="9"/>
      <color rgb="FF1F3864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F8F8F8"/>
        <bgColor rgb="FFF2F2F2"/>
      </patternFill>
    </fill>
    <fill>
      <patternFill patternType="solid">
        <fgColor rgb="FF1F3864"/>
        <bgColor rgb="FF2F2F2F"/>
      </patternFill>
    </fill>
    <fill>
      <patternFill patternType="solid">
        <fgColor rgb="FF2E75B6"/>
        <bgColor rgb="FF4472C4"/>
      </patternFill>
    </fill>
    <fill>
      <patternFill patternType="solid">
        <fgColor rgb="FFE61023"/>
        <bgColor rgb="FF993300"/>
      </patternFill>
    </fill>
    <fill>
      <patternFill patternType="solid">
        <fgColor rgb="FF595959"/>
        <bgColor rgb="FF606060"/>
      </patternFill>
    </fill>
    <fill>
      <patternFill patternType="solid">
        <fgColor rgb="FFF2F2F2"/>
        <bgColor rgb="FFF8F8F8"/>
      </patternFill>
    </fill>
    <fill>
      <patternFill patternType="solid">
        <fgColor rgb="FF2F2F2F"/>
        <bgColor rgb="FF404040"/>
      </patternFill>
    </fill>
    <fill>
      <patternFill patternType="solid">
        <fgColor rgb="FFFFFFFF"/>
        <bgColor rgb="FFF8F8F8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2F2F2"/>
      </patternFill>
    </fill>
    <fill>
      <patternFill patternType="solid">
        <fgColor rgb="FF2F855A"/>
        <bgColor rgb="FF008080"/>
      </patternFill>
    </fill>
    <fill>
      <patternFill patternType="solid">
        <fgColor rgb="FF008B8B"/>
        <bgColor rgb="FF008080"/>
      </patternFill>
    </fill>
    <fill>
      <patternFill patternType="solid">
        <fgColor rgb="FF7030A0"/>
        <bgColor rgb="FF6A4C93"/>
      </patternFill>
    </fill>
    <fill>
      <patternFill patternType="solid">
        <fgColor rgb="FF6A4C93"/>
        <bgColor rgb="FF7030A0"/>
      </patternFill>
    </fill>
    <fill>
      <patternFill patternType="solid">
        <fgColor rgb="FF8DC63F"/>
        <bgColor rgb="FFB0B0B0"/>
      </patternFill>
    </fill>
    <fill>
      <patternFill patternType="solid">
        <fgColor rgb="FFEAF4FF"/>
        <bgColor rgb="FFF2F2F2"/>
      </patternFill>
    </fill>
  </fills>
  <borders count="2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F2F2F"/>
      </left>
      <right style="thin">
        <color rgb="FF2F2F2F"/>
      </right>
      <top style="thin">
        <color rgb="FF2F2F2F"/>
      </top>
      <bottom style="thin">
        <color rgb="FF2F2F2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DC63F"/>
      </left>
      <right/>
      <top style="thin">
        <color rgb="FF8DC63F"/>
      </top>
      <bottom style="thin">
        <color rgb="FF8DC63F"/>
      </bottom>
      <diagonal/>
    </border>
    <border>
      <left style="thin">
        <color rgb="FF8DC63F"/>
      </left>
      <right style="thin">
        <color rgb="FF8DC63F"/>
      </right>
      <top style="thin">
        <color rgb="FF8DC63F"/>
      </top>
      <bottom style="thin">
        <color rgb="FF8DC63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E61023"/>
      </left>
      <right style="thin">
        <color rgb="FFE61023"/>
      </right>
      <top style="thin">
        <color rgb="FFE61023"/>
      </top>
      <bottom style="thin">
        <color rgb="FFE61023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2F2F2F"/>
      </left>
      <right/>
      <top style="thin">
        <color rgb="FF2F2F2F"/>
      </top>
      <bottom style="thin">
        <color rgb="FF2F2F2F"/>
      </bottom>
      <diagonal/>
    </border>
    <border>
      <left/>
      <right/>
      <top style="thin">
        <color rgb="FF2F2F2F"/>
      </top>
      <bottom style="thin">
        <color rgb="FF2F2F2F"/>
      </bottom>
      <diagonal/>
    </border>
    <border>
      <left style="thin">
        <color rgb="FF2F2F2F"/>
      </left>
      <right style="thin">
        <color rgb="FF2F2F2F"/>
      </right>
      <top/>
      <bottom style="thin">
        <color rgb="FF2F2F2F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8DC63F"/>
      </top>
      <bottom style="thin">
        <color rgb="FF8DC63F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2" borderId="0" xfId="0" applyFill="1"/>
    <xf numFmtId="0" fontId="4" fillId="6" borderId="1" xfId="0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167" fontId="11" fillId="9" borderId="1" xfId="0" applyNumberFormat="1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167" fontId="11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168" fontId="11" fillId="7" borderId="1" xfId="0" applyNumberFormat="1" applyFont="1" applyFill="1" applyBorder="1" applyAlignment="1">
      <alignment horizontal="center"/>
    </xf>
    <xf numFmtId="165" fontId="11" fillId="9" borderId="1" xfId="0" applyNumberFormat="1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169" fontId="11" fillId="7" borderId="1" xfId="0" applyNumberFormat="1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horizontal="center"/>
    </xf>
    <xf numFmtId="167" fontId="10" fillId="7" borderId="1" xfId="0" applyNumberFormat="1" applyFont="1" applyFill="1" applyBorder="1" applyAlignment="1">
      <alignment horizontal="center"/>
    </xf>
    <xf numFmtId="170" fontId="11" fillId="7" borderId="1" xfId="0" applyNumberFormat="1" applyFont="1" applyFill="1" applyBorder="1" applyAlignment="1">
      <alignment horizontal="center"/>
    </xf>
    <xf numFmtId="170" fontId="11" fillId="9" borderId="1" xfId="0" applyNumberFormat="1" applyFont="1" applyFill="1" applyBorder="1" applyAlignment="1">
      <alignment horizontal="center"/>
    </xf>
    <xf numFmtId="171" fontId="11" fillId="9" borderId="1" xfId="0" applyNumberFormat="1" applyFont="1" applyFill="1" applyBorder="1" applyAlignment="1">
      <alignment horizontal="center"/>
    </xf>
    <xf numFmtId="172" fontId="11" fillId="7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170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5" fillId="7" borderId="0" xfId="0" applyFont="1" applyFill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67" fontId="16" fillId="11" borderId="0" xfId="0" applyNumberFormat="1" applyFont="1" applyFill="1" applyAlignment="1">
      <alignment horizontal="center" vertical="center"/>
    </xf>
    <xf numFmtId="164" fontId="16" fillId="11" borderId="0" xfId="0" applyNumberFormat="1" applyFont="1" applyFill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0" fontId="17" fillId="0" borderId="0" xfId="0" applyFont="1"/>
    <xf numFmtId="0" fontId="7" fillId="4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167" fontId="11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16" fillId="7" borderId="7" xfId="0" applyNumberFormat="1" applyFont="1" applyFill="1" applyBorder="1" applyAlignment="1">
      <alignment horizontal="right" vertical="center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 wrapText="1"/>
    </xf>
    <xf numFmtId="164" fontId="19" fillId="0" borderId="7" xfId="0" applyNumberFormat="1" applyFont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6" fillId="5" borderId="7" xfId="0" applyNumberFormat="1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left" vertical="center" wrapText="1"/>
    </xf>
    <xf numFmtId="164" fontId="11" fillId="9" borderId="1" xfId="0" applyNumberFormat="1" applyFont="1" applyFill="1" applyBorder="1" applyAlignment="1">
      <alignment horizontal="right"/>
    </xf>
    <xf numFmtId="0" fontId="20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164" fontId="10" fillId="7" borderId="1" xfId="0" applyNumberFormat="1" applyFont="1" applyFill="1" applyBorder="1" applyAlignment="1">
      <alignment horizontal="right"/>
    </xf>
    <xf numFmtId="0" fontId="20" fillId="7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 wrapText="1"/>
    </xf>
    <xf numFmtId="164" fontId="11" fillId="7" borderId="1" xfId="0" applyNumberFormat="1" applyFont="1" applyFill="1" applyBorder="1" applyAlignment="1">
      <alignment horizontal="right"/>
    </xf>
    <xf numFmtId="0" fontId="4" fillId="4" borderId="4" xfId="0" applyFont="1" applyFill="1" applyBorder="1" applyAlignment="1">
      <alignment horizontal="left" vertical="center"/>
    </xf>
    <xf numFmtId="164" fontId="6" fillId="4" borderId="4" xfId="0" applyNumberFormat="1" applyFont="1" applyFill="1" applyBorder="1" applyAlignment="1">
      <alignment horizontal="right"/>
    </xf>
    <xf numFmtId="0" fontId="22" fillId="4" borderId="4" xfId="0" applyFont="1" applyFill="1" applyBorder="1" applyAlignment="1">
      <alignment horizontal="left" vertical="center"/>
    </xf>
    <xf numFmtId="0" fontId="4" fillId="16" borderId="9" xfId="0" applyFont="1" applyFill="1" applyBorder="1" applyAlignment="1">
      <alignment horizontal="left" vertical="center"/>
    </xf>
    <xf numFmtId="164" fontId="6" fillId="16" borderId="9" xfId="0" applyNumberFormat="1" applyFont="1" applyFill="1" applyBorder="1" applyAlignment="1">
      <alignment horizontal="right"/>
    </xf>
    <xf numFmtId="0" fontId="22" fillId="16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164" fontId="9" fillId="3" borderId="10" xfId="0" applyNumberFormat="1" applyFont="1" applyFill="1" applyBorder="1" applyAlignment="1">
      <alignment horizontal="right"/>
    </xf>
    <xf numFmtId="0" fontId="22" fillId="3" borderId="10" xfId="0" applyFont="1" applyFill="1" applyBorder="1" applyAlignment="1">
      <alignment horizontal="left" vertical="center"/>
    </xf>
    <xf numFmtId="164" fontId="4" fillId="0" borderId="0" xfId="0" applyNumberFormat="1" applyFont="1"/>
    <xf numFmtId="0" fontId="4" fillId="5" borderId="1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right"/>
    </xf>
    <xf numFmtId="164" fontId="7" fillId="7" borderId="1" xfId="0" applyNumberFormat="1" applyFont="1" applyFill="1" applyBorder="1" applyAlignment="1">
      <alignment horizontal="right"/>
    </xf>
    <xf numFmtId="164" fontId="10" fillId="9" borderId="1" xfId="0" applyNumberFormat="1" applyFont="1" applyFill="1" applyBorder="1" applyAlignment="1">
      <alignment horizontal="right"/>
    </xf>
    <xf numFmtId="0" fontId="7" fillId="6" borderId="13" xfId="0" applyFont="1" applyFill="1" applyBorder="1" applyAlignment="1">
      <alignment horizontal="left" vertical="center"/>
    </xf>
    <xf numFmtId="164" fontId="7" fillId="6" borderId="13" xfId="0" applyNumberFormat="1" applyFont="1" applyFill="1" applyBorder="1" applyAlignment="1">
      <alignment horizontal="right"/>
    </xf>
    <xf numFmtId="0" fontId="7" fillId="16" borderId="9" xfId="0" applyFont="1" applyFill="1" applyBorder="1" applyAlignment="1">
      <alignment horizontal="left" vertical="center"/>
    </xf>
    <xf numFmtId="164" fontId="7" fillId="16" borderId="9" xfId="0" applyNumberFormat="1" applyFont="1" applyFill="1" applyBorder="1" applyAlignment="1">
      <alignment horizontal="right"/>
    </xf>
    <xf numFmtId="164" fontId="4" fillId="3" borderId="10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0" fontId="7" fillId="8" borderId="14" xfId="0" applyFont="1" applyFill="1" applyBorder="1" applyAlignment="1">
      <alignment horizontal="center" vertical="center"/>
    </xf>
    <xf numFmtId="0" fontId="0" fillId="0" borderId="15" xfId="0" applyBorder="1"/>
    <xf numFmtId="0" fontId="7" fillId="8" borderId="1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164" fontId="24" fillId="0" borderId="0" xfId="0" applyNumberFormat="1" applyFont="1" applyAlignment="1">
      <alignment horizontal="right"/>
    </xf>
    <xf numFmtId="0" fontId="4" fillId="8" borderId="16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164" fontId="8" fillId="17" borderId="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center" vertical="center"/>
    </xf>
    <xf numFmtId="165" fontId="8" fillId="17" borderId="1" xfId="0" applyNumberFormat="1" applyFont="1" applyFill="1" applyBorder="1" applyAlignment="1">
      <alignment horizontal="center"/>
    </xf>
    <xf numFmtId="0" fontId="26" fillId="9" borderId="1" xfId="0" applyFont="1" applyFill="1" applyBorder="1" applyAlignment="1">
      <alignment horizontal="left" vertical="center" wrapText="1"/>
    </xf>
    <xf numFmtId="166" fontId="8" fillId="17" borderId="1" xfId="0" applyNumberFormat="1" applyFont="1" applyFill="1" applyBorder="1" applyAlignment="1">
      <alignment horizontal="center"/>
    </xf>
    <xf numFmtId="0" fontId="27" fillId="7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/>
    </xf>
    <xf numFmtId="0" fontId="27" fillId="9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center" vertical="center"/>
    </xf>
    <xf numFmtId="164" fontId="10" fillId="17" borderId="1" xfId="0" applyNumberFormat="1" applyFont="1" applyFill="1" applyBorder="1" applyAlignment="1">
      <alignment horizontal="right"/>
    </xf>
    <xf numFmtId="0" fontId="22" fillId="9" borderId="1" xfId="0" applyFont="1" applyFill="1" applyBorder="1" applyAlignment="1">
      <alignment horizontal="left" vertical="center"/>
    </xf>
    <xf numFmtId="0" fontId="29" fillId="9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17" xfId="0" applyBorder="1"/>
    <xf numFmtId="0" fontId="3" fillId="5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18" xfId="0" applyBorder="1"/>
    <xf numFmtId="0" fontId="1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19" xfId="0" applyBorder="1"/>
    <xf numFmtId="0" fontId="9" fillId="3" borderId="3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4" fillId="10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7" fillId="1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3" fillId="16" borderId="8" xfId="0" applyFont="1" applyFill="1" applyBorder="1" applyAlignment="1">
      <alignment horizontal="center" vertical="center"/>
    </xf>
    <xf numFmtId="0" fontId="0" fillId="0" borderId="20" xfId="0" applyBorder="1"/>
    <xf numFmtId="0" fontId="7" fillId="6" borderId="12" xfId="0" applyFont="1" applyFill="1" applyBorder="1" applyAlignment="1">
      <alignment horizontal="center" vertical="center"/>
    </xf>
    <xf numFmtId="0" fontId="0" fillId="0" borderId="21" xfId="0" applyBorder="1"/>
    <xf numFmtId="0" fontId="16" fillId="16" borderId="8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0" fillId="0" borderId="15" xfId="0" applyBorder="1"/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102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B8B"/>
      <rgbColor rgb="FFBFBFBF"/>
      <rgbColor rgb="FF595959"/>
      <rgbColor rgb="FF9999FF"/>
      <rgbColor rgb="FF7030A0"/>
      <rgbColor rgb="FFFFF2CC"/>
      <rgbColor rgb="FFEAF4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8F8F8"/>
      <rgbColor rgb="FFFFFF99"/>
      <rgbColor rgb="FF99CCFF"/>
      <rgbColor rgb="FFFF99CC"/>
      <rgbColor rgb="FFCC99FF"/>
      <rgbColor rgb="FFFFCC99"/>
      <rgbColor rgb="FF4472C4"/>
      <rgbColor rgb="FF33CCCC"/>
      <rgbColor rgb="FF8DC63F"/>
      <rgbColor rgb="FFFFCC00"/>
      <rgbColor rgb="FFFF9900"/>
      <rgbColor rgb="FFFF6600"/>
      <rgbColor rgb="FF606060"/>
      <rgbColor rgb="FFB0B0B0"/>
      <rgbColor rgb="FF1F3864"/>
      <rgbColor rgb="FF2F855A"/>
      <rgbColor rgb="FF003300"/>
      <rgbColor rgb="FF404040"/>
      <rgbColor rgb="FF993300"/>
      <rgbColor rgb="FF6A4C93"/>
      <rgbColor rgb="FF505050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showGridLines="0" topLeftCell="A4" zoomScaleNormal="100" workbookViewId="0"/>
  </sheetViews>
  <sheetFormatPr baseColWidth="10" defaultColWidth="14.44140625" defaultRowHeight="14.4" x14ac:dyDescent="0.3"/>
  <cols>
    <col min="1" max="1" width="2" customWidth="1"/>
    <col min="2" max="2" width="20.109375" customWidth="1"/>
    <col min="3" max="8" width="17" customWidth="1"/>
    <col min="9" max="26" width="8.6640625" customWidth="1"/>
  </cols>
  <sheetData>
    <row r="1" spans="1:1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9.75" customHeight="1" x14ac:dyDescent="0.3">
      <c r="A2" s="121" t="s">
        <v>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1" ht="31.5" customHeight="1" x14ac:dyDescent="0.3">
      <c r="A3" s="118" t="s">
        <v>1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</row>
    <row r="4" spans="1:11" ht="24" customHeight="1" x14ac:dyDescent="0.3">
      <c r="A4" s="116" t="s">
        <v>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</row>
    <row r="5" spans="1:11" ht="13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75" customHeight="1" x14ac:dyDescent="0.3">
      <c r="A6" s="1"/>
      <c r="B6" s="2" t="s">
        <v>3</v>
      </c>
      <c r="C6" s="114" t="s">
        <v>4</v>
      </c>
      <c r="D6" s="115"/>
      <c r="E6" s="115"/>
      <c r="F6" s="115"/>
      <c r="G6" s="115"/>
      <c r="H6" s="115"/>
      <c r="I6" s="115"/>
      <c r="J6" s="115"/>
      <c r="K6" s="1"/>
    </row>
    <row r="7" spans="1:11" ht="21.75" customHeight="1" x14ac:dyDescent="0.3">
      <c r="A7" s="1"/>
      <c r="B7" s="2" t="s">
        <v>5</v>
      </c>
      <c r="C7" s="114" t="s">
        <v>6</v>
      </c>
      <c r="D7" s="115"/>
      <c r="E7" s="115"/>
      <c r="F7" s="115"/>
      <c r="G7" s="115"/>
      <c r="H7" s="115"/>
      <c r="I7" s="115"/>
      <c r="J7" s="115"/>
      <c r="K7" s="1"/>
    </row>
    <row r="8" spans="1:11" ht="21.75" customHeight="1" x14ac:dyDescent="0.3">
      <c r="A8" s="1"/>
      <c r="B8" s="2" t="s">
        <v>7</v>
      </c>
      <c r="C8" s="114" t="s">
        <v>8</v>
      </c>
      <c r="D8" s="115"/>
      <c r="E8" s="115"/>
      <c r="F8" s="115"/>
      <c r="G8" s="115"/>
      <c r="H8" s="115"/>
      <c r="I8" s="115"/>
      <c r="J8" s="115"/>
      <c r="K8" s="1"/>
    </row>
    <row r="9" spans="1:11" ht="21.75" customHeight="1" x14ac:dyDescent="0.3">
      <c r="A9" s="1"/>
      <c r="B9" s="2" t="s">
        <v>9</v>
      </c>
      <c r="C9" s="114" t="s">
        <v>10</v>
      </c>
      <c r="D9" s="115"/>
      <c r="E9" s="115"/>
      <c r="F9" s="115"/>
      <c r="G9" s="115"/>
      <c r="H9" s="115"/>
      <c r="I9" s="115"/>
      <c r="J9" s="115"/>
      <c r="K9" s="1"/>
    </row>
    <row r="10" spans="1:11" ht="21.75" customHeight="1" x14ac:dyDescent="0.3">
      <c r="A10" s="1"/>
      <c r="B10" s="2" t="s">
        <v>11</v>
      </c>
      <c r="C10" s="114" t="s">
        <v>12</v>
      </c>
      <c r="D10" s="115"/>
      <c r="E10" s="115"/>
      <c r="F10" s="115"/>
      <c r="G10" s="115"/>
      <c r="H10" s="115"/>
      <c r="I10" s="115"/>
      <c r="J10" s="115"/>
      <c r="K10" s="1"/>
    </row>
    <row r="11" spans="1:11" ht="21.75" customHeight="1" x14ac:dyDescent="0.3">
      <c r="A11" s="1"/>
      <c r="B11" s="2" t="s">
        <v>13</v>
      </c>
      <c r="C11" s="114" t="s">
        <v>14</v>
      </c>
      <c r="D11" s="115"/>
      <c r="E11" s="115"/>
      <c r="F11" s="115"/>
      <c r="G11" s="115"/>
      <c r="H11" s="115"/>
      <c r="I11" s="115"/>
      <c r="J11" s="115"/>
      <c r="K11" s="1"/>
    </row>
    <row r="12" spans="1:11" ht="21.75" customHeight="1" x14ac:dyDescent="0.3">
      <c r="A12" s="1"/>
      <c r="B12" s="2" t="s">
        <v>15</v>
      </c>
      <c r="C12" s="114" t="s">
        <v>16</v>
      </c>
      <c r="D12" s="115"/>
      <c r="E12" s="115"/>
      <c r="F12" s="115"/>
      <c r="G12" s="115"/>
      <c r="H12" s="115"/>
      <c r="I12" s="115"/>
      <c r="J12" s="115"/>
      <c r="K12" s="1"/>
    </row>
    <row r="13" spans="1:11" ht="21.75" customHeight="1" x14ac:dyDescent="0.3">
      <c r="A13" s="1"/>
      <c r="B13" s="2" t="s">
        <v>17</v>
      </c>
      <c r="C13" s="114" t="s">
        <v>18</v>
      </c>
      <c r="D13" s="115"/>
      <c r="E13" s="115"/>
      <c r="F13" s="115"/>
      <c r="G13" s="115"/>
      <c r="H13" s="115"/>
      <c r="I13" s="115"/>
      <c r="J13" s="115"/>
      <c r="K13" s="1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9.5" customHeight="1" x14ac:dyDescent="0.3">
      <c r="A15" s="119" t="s">
        <v>19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</row>
    <row r="16" spans="1:11" ht="21.75" customHeight="1" x14ac:dyDescent="0.3">
      <c r="A16" s="1"/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1"/>
      <c r="J16" s="1"/>
      <c r="K16" s="1"/>
    </row>
    <row r="17" spans="1:11" ht="27.75" customHeight="1" x14ac:dyDescent="0.3">
      <c r="A17" s="1"/>
      <c r="B17" s="4">
        <f>CAPEX!H70</f>
        <v>1904144319.6300001</v>
      </c>
      <c r="C17" s="4">
        <f>OPEX_Beneficios!C11</f>
        <v>171120839</v>
      </c>
      <c r="D17" s="4">
        <f>OPEX_Beneficios!C22</f>
        <v>606920622.4000001</v>
      </c>
      <c r="E17" s="4">
        <f>OPEX_Beneficios!C23</f>
        <v>435799783.4000001</v>
      </c>
      <c r="F17" s="4">
        <f>Indicadores!D5</f>
        <v>1175623700.8286371</v>
      </c>
      <c r="G17" s="5">
        <f>Indicadores!D6</f>
        <v>0.24504192783306555</v>
      </c>
      <c r="H17" s="6">
        <f>Indicadores!D7</f>
        <v>4.3693099266235196</v>
      </c>
      <c r="I17" s="1"/>
      <c r="J17" s="1"/>
      <c r="K17" s="1"/>
    </row>
    <row r="18" spans="1:11" ht="1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4.25" customHeight="1" x14ac:dyDescent="0.3"/>
    <row r="51" spans="1:11" ht="14.25" customHeight="1" x14ac:dyDescent="0.3"/>
    <row r="52" spans="1:11" ht="14.25" customHeight="1" x14ac:dyDescent="0.3"/>
    <row r="53" spans="1:11" ht="14.25" customHeight="1" x14ac:dyDescent="0.3"/>
    <row r="54" spans="1:11" ht="14.25" customHeight="1" x14ac:dyDescent="0.3"/>
    <row r="55" spans="1:11" ht="14.25" customHeight="1" x14ac:dyDescent="0.3"/>
    <row r="56" spans="1:11" ht="14.25" customHeight="1" x14ac:dyDescent="0.3"/>
    <row r="57" spans="1:11" ht="14.25" customHeight="1" x14ac:dyDescent="0.3"/>
    <row r="58" spans="1:11" ht="14.25" customHeight="1" x14ac:dyDescent="0.3"/>
    <row r="59" spans="1:11" ht="14.25" customHeight="1" x14ac:dyDescent="0.3"/>
    <row r="60" spans="1:11" ht="14.25" customHeight="1" x14ac:dyDescent="0.3"/>
    <row r="61" spans="1:11" ht="14.25" customHeight="1" x14ac:dyDescent="0.3"/>
    <row r="62" spans="1:11" ht="14.25" customHeight="1" x14ac:dyDescent="0.3"/>
    <row r="63" spans="1:11" ht="14.25" customHeight="1" x14ac:dyDescent="0.3"/>
    <row r="64" spans="1:1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:K2"/>
    <mergeCell ref="C13:J13"/>
    <mergeCell ref="C8:J8"/>
    <mergeCell ref="C9:J9"/>
    <mergeCell ref="C12:J12"/>
    <mergeCell ref="A4:K4"/>
    <mergeCell ref="A3:K3"/>
    <mergeCell ref="C7:J7"/>
    <mergeCell ref="A15:K15"/>
    <mergeCell ref="C11:J11"/>
    <mergeCell ref="C6:J6"/>
    <mergeCell ref="C10:J10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1000"/>
  <sheetViews>
    <sheetView showGridLines="0" topLeftCell="A15" zoomScaleNormal="100" workbookViewId="0"/>
  </sheetViews>
  <sheetFormatPr baseColWidth="10" defaultColWidth="14.44140625" defaultRowHeight="14.4" x14ac:dyDescent="0.3"/>
  <cols>
    <col min="1" max="1" width="2" customWidth="1"/>
    <col min="2" max="2" width="38" customWidth="1"/>
    <col min="3" max="3" width="18" customWidth="1"/>
    <col min="4" max="4" width="12" customWidth="1"/>
    <col min="5" max="5" width="30" customWidth="1"/>
    <col min="6" max="26" width="8.6640625" customWidth="1"/>
  </cols>
  <sheetData>
    <row r="1" spans="2:5" ht="24" customHeight="1" x14ac:dyDescent="0.3">
      <c r="B1" s="124" t="s">
        <v>27</v>
      </c>
      <c r="C1" s="120"/>
      <c r="D1" s="120"/>
      <c r="E1" s="120"/>
    </row>
    <row r="2" spans="2:5" ht="14.25" customHeight="1" x14ac:dyDescent="0.3"/>
    <row r="3" spans="2:5" ht="18" customHeight="1" x14ac:dyDescent="0.3">
      <c r="B3" s="122" t="s">
        <v>28</v>
      </c>
      <c r="C3" s="123"/>
      <c r="D3" s="123"/>
      <c r="E3" s="123"/>
    </row>
    <row r="4" spans="2:5" ht="15.75" customHeight="1" x14ac:dyDescent="0.3">
      <c r="B4" s="7" t="s">
        <v>29</v>
      </c>
      <c r="C4" s="7" t="s">
        <v>30</v>
      </c>
      <c r="D4" s="7" t="s">
        <v>31</v>
      </c>
      <c r="E4" s="7" t="s">
        <v>32</v>
      </c>
    </row>
    <row r="5" spans="2:5" ht="15.75" customHeight="1" x14ac:dyDescent="0.3">
      <c r="B5" s="8" t="s">
        <v>33</v>
      </c>
      <c r="C5" s="9">
        <v>19800</v>
      </c>
      <c r="D5" s="10" t="s">
        <v>34</v>
      </c>
      <c r="E5" s="11" t="s">
        <v>35</v>
      </c>
    </row>
    <row r="6" spans="2:5" ht="15.75" customHeight="1" x14ac:dyDescent="0.3">
      <c r="B6" s="12" t="s">
        <v>36</v>
      </c>
      <c r="C6" s="13">
        <v>115184</v>
      </c>
      <c r="D6" s="14" t="s">
        <v>34</v>
      </c>
      <c r="E6" s="15" t="s">
        <v>37</v>
      </c>
    </row>
    <row r="7" spans="2:5" ht="15.75" customHeight="1" x14ac:dyDescent="0.3">
      <c r="B7" s="8" t="s">
        <v>38</v>
      </c>
      <c r="C7" s="9">
        <v>129550</v>
      </c>
      <c r="D7" s="10" t="s">
        <v>34</v>
      </c>
      <c r="E7" s="11" t="s">
        <v>39</v>
      </c>
    </row>
    <row r="8" spans="2:5" ht="15.75" customHeight="1" x14ac:dyDescent="0.3">
      <c r="B8" s="12" t="s">
        <v>40</v>
      </c>
      <c r="C8" s="13">
        <v>365</v>
      </c>
      <c r="D8" s="14" t="s">
        <v>41</v>
      </c>
      <c r="E8" s="15" t="s">
        <v>42</v>
      </c>
    </row>
    <row r="9" spans="2:5" ht="14.25" customHeight="1" x14ac:dyDescent="0.3"/>
    <row r="10" spans="2:5" ht="18" customHeight="1" x14ac:dyDescent="0.3">
      <c r="B10" s="122" t="s">
        <v>43</v>
      </c>
      <c r="C10" s="123"/>
      <c r="D10" s="123"/>
      <c r="E10" s="123"/>
    </row>
    <row r="11" spans="2:5" ht="15.75" customHeight="1" x14ac:dyDescent="0.3">
      <c r="B11" s="7" t="s">
        <v>29</v>
      </c>
      <c r="C11" s="7" t="s">
        <v>30</v>
      </c>
      <c r="D11" s="7" t="s">
        <v>31</v>
      </c>
      <c r="E11" s="7" t="s">
        <v>32</v>
      </c>
    </row>
    <row r="12" spans="2:5" ht="15.75" customHeight="1" x14ac:dyDescent="0.3">
      <c r="B12" s="12" t="s">
        <v>44</v>
      </c>
      <c r="C12" s="16">
        <v>3723.05</v>
      </c>
      <c r="D12" s="14" t="s">
        <v>45</v>
      </c>
      <c r="E12" s="15" t="s">
        <v>46</v>
      </c>
    </row>
    <row r="13" spans="2:5" ht="15.75" customHeight="1" x14ac:dyDescent="0.3">
      <c r="B13" s="8" t="s">
        <v>47</v>
      </c>
      <c r="C13" s="17">
        <v>0.12</v>
      </c>
      <c r="D13" s="10"/>
      <c r="E13" s="11" t="s">
        <v>48</v>
      </c>
    </row>
    <row r="14" spans="2:5" ht="15.75" customHeight="1" x14ac:dyDescent="0.3">
      <c r="B14" s="12" t="s">
        <v>49</v>
      </c>
      <c r="C14" s="18">
        <v>0.05</v>
      </c>
      <c r="D14" s="14"/>
      <c r="E14" s="15" t="s">
        <v>50</v>
      </c>
    </row>
    <row r="15" spans="2:5" ht="15.75" customHeight="1" x14ac:dyDescent="0.3">
      <c r="B15" s="8" t="s">
        <v>51</v>
      </c>
      <c r="C15" s="17">
        <v>0.03</v>
      </c>
      <c r="D15" s="10"/>
      <c r="E15" s="11" t="s">
        <v>52</v>
      </c>
    </row>
    <row r="16" spans="2:5" ht="14.25" customHeight="1" x14ac:dyDescent="0.3"/>
    <row r="17" spans="2:5" ht="18" customHeight="1" x14ac:dyDescent="0.3">
      <c r="B17" s="122" t="s">
        <v>53</v>
      </c>
      <c r="C17" s="123"/>
      <c r="D17" s="123"/>
      <c r="E17" s="123"/>
    </row>
    <row r="18" spans="2:5" ht="15.75" customHeight="1" x14ac:dyDescent="0.3">
      <c r="B18" s="7" t="s">
        <v>29</v>
      </c>
      <c r="C18" s="7" t="s">
        <v>30</v>
      </c>
      <c r="D18" s="7" t="s">
        <v>31</v>
      </c>
      <c r="E18" s="7" t="s">
        <v>32</v>
      </c>
    </row>
    <row r="19" spans="2:5" ht="15.75" customHeight="1" x14ac:dyDescent="0.3">
      <c r="B19" s="8" t="s">
        <v>54</v>
      </c>
      <c r="C19" s="19">
        <v>1750905</v>
      </c>
      <c r="D19" s="10" t="s">
        <v>55</v>
      </c>
      <c r="E19" s="11" t="s">
        <v>56</v>
      </c>
    </row>
    <row r="20" spans="2:5" ht="15.75" customHeight="1" x14ac:dyDescent="0.3">
      <c r="B20" s="12" t="s">
        <v>57</v>
      </c>
      <c r="C20" s="20">
        <v>1.52</v>
      </c>
      <c r="D20" s="14"/>
      <c r="E20" s="15" t="s">
        <v>58</v>
      </c>
    </row>
    <row r="21" spans="2:5" ht="15.75" customHeight="1" x14ac:dyDescent="0.3">
      <c r="B21" s="8" t="s">
        <v>59</v>
      </c>
      <c r="C21" s="21">
        <f>C19*C20</f>
        <v>2661375.6</v>
      </c>
      <c r="D21" s="10" t="s">
        <v>55</v>
      </c>
      <c r="E21" s="11" t="s">
        <v>60</v>
      </c>
    </row>
    <row r="22" spans="2:5" ht="15.75" customHeight="1" x14ac:dyDescent="0.3">
      <c r="B22" s="12" t="s">
        <v>61</v>
      </c>
      <c r="C22" s="13">
        <v>10</v>
      </c>
      <c r="D22" s="14" t="s">
        <v>62</v>
      </c>
      <c r="E22" s="15" t="s">
        <v>63</v>
      </c>
    </row>
    <row r="23" spans="2:5" ht="15.75" customHeight="1" x14ac:dyDescent="0.3">
      <c r="B23" s="8" t="s">
        <v>64</v>
      </c>
      <c r="C23" s="9">
        <v>2</v>
      </c>
      <c r="D23" s="10" t="s">
        <v>62</v>
      </c>
      <c r="E23" s="11" t="s">
        <v>65</v>
      </c>
    </row>
    <row r="24" spans="2:5" ht="15.75" customHeight="1" x14ac:dyDescent="0.3">
      <c r="B24" s="12" t="s">
        <v>66</v>
      </c>
      <c r="C24" s="22">
        <f>C22-C23</f>
        <v>8</v>
      </c>
      <c r="D24" s="14" t="s">
        <v>62</v>
      </c>
      <c r="E24" s="15"/>
    </row>
    <row r="25" spans="2:5" ht="14.25" customHeight="1" x14ac:dyDescent="0.3"/>
    <row r="26" spans="2:5" ht="18" customHeight="1" x14ac:dyDescent="0.3">
      <c r="B26" s="122" t="s">
        <v>67</v>
      </c>
      <c r="C26" s="123"/>
      <c r="D26" s="123"/>
      <c r="E26" s="123"/>
    </row>
    <row r="27" spans="2:5" ht="15.75" customHeight="1" x14ac:dyDescent="0.3">
      <c r="B27" s="7" t="s">
        <v>29</v>
      </c>
      <c r="C27" s="7" t="s">
        <v>30</v>
      </c>
      <c r="D27" s="7" t="s">
        <v>31</v>
      </c>
      <c r="E27" s="7" t="s">
        <v>32</v>
      </c>
    </row>
    <row r="28" spans="2:5" ht="15.75" customHeight="1" x14ac:dyDescent="0.3">
      <c r="B28" s="12" t="s">
        <v>68</v>
      </c>
      <c r="C28" s="23">
        <v>3.5</v>
      </c>
      <c r="D28" s="14" t="s">
        <v>69</v>
      </c>
      <c r="E28" s="15" t="s">
        <v>70</v>
      </c>
    </row>
    <row r="29" spans="2:5" ht="15.75" customHeight="1" x14ac:dyDescent="0.3">
      <c r="B29" s="8" t="s">
        <v>71</v>
      </c>
      <c r="C29" s="24">
        <v>2</v>
      </c>
      <c r="D29" s="10" t="s">
        <v>69</v>
      </c>
      <c r="E29" s="11" t="s">
        <v>72</v>
      </c>
    </row>
    <row r="30" spans="2:5" ht="15.75" customHeight="1" x14ac:dyDescent="0.3">
      <c r="B30" s="12" t="s">
        <v>73</v>
      </c>
      <c r="C30" s="23">
        <v>2.5</v>
      </c>
      <c r="D30" s="14" t="s">
        <v>69</v>
      </c>
      <c r="E30" s="15" t="s">
        <v>74</v>
      </c>
    </row>
    <row r="31" spans="2:5" ht="15.75" customHeight="1" x14ac:dyDescent="0.3">
      <c r="B31" s="8" t="s">
        <v>75</v>
      </c>
      <c r="C31" s="25">
        <v>20</v>
      </c>
      <c r="D31" s="10" t="s">
        <v>76</v>
      </c>
      <c r="E31" s="11" t="s">
        <v>77</v>
      </c>
    </row>
    <row r="32" spans="2:5" ht="15.75" customHeight="1" x14ac:dyDescent="0.3">
      <c r="B32" s="12" t="s">
        <v>78</v>
      </c>
      <c r="C32" s="26">
        <v>600</v>
      </c>
      <c r="D32" s="14" t="s">
        <v>79</v>
      </c>
      <c r="E32" s="15" t="s">
        <v>80</v>
      </c>
    </row>
    <row r="33" spans="2:5" ht="14.25" customHeight="1" x14ac:dyDescent="0.3">
      <c r="B33" s="27" t="s">
        <v>81</v>
      </c>
      <c r="C33" s="28">
        <v>13.5</v>
      </c>
      <c r="D33" s="29" t="s">
        <v>69</v>
      </c>
      <c r="E33" s="30" t="s">
        <v>82</v>
      </c>
    </row>
    <row r="34" spans="2:5" ht="18" customHeight="1" x14ac:dyDescent="0.3">
      <c r="B34" s="122" t="s">
        <v>83</v>
      </c>
      <c r="C34" s="123"/>
      <c r="D34" s="123"/>
      <c r="E34" s="123"/>
    </row>
    <row r="35" spans="2:5" ht="15.75" customHeight="1" x14ac:dyDescent="0.3">
      <c r="B35" s="7" t="s">
        <v>29</v>
      </c>
      <c r="C35" s="7" t="s">
        <v>30</v>
      </c>
      <c r="D35" s="7" t="s">
        <v>31</v>
      </c>
      <c r="E35" s="7" t="s">
        <v>32</v>
      </c>
    </row>
    <row r="36" spans="2:5" ht="15.75" customHeight="1" x14ac:dyDescent="0.3">
      <c r="B36" s="12" t="s">
        <v>84</v>
      </c>
      <c r="C36" s="13">
        <v>6</v>
      </c>
      <c r="D36" s="14" t="s">
        <v>85</v>
      </c>
      <c r="E36" s="15" t="s">
        <v>86</v>
      </c>
    </row>
    <row r="37" spans="2:5" ht="15.75" customHeight="1" x14ac:dyDescent="0.3">
      <c r="B37" s="8" t="s">
        <v>87</v>
      </c>
      <c r="C37" s="9">
        <v>6</v>
      </c>
      <c r="D37" s="10" t="s">
        <v>85</v>
      </c>
      <c r="E37" s="11" t="s">
        <v>88</v>
      </c>
    </row>
    <row r="38" spans="2:5" ht="15.75" customHeight="1" x14ac:dyDescent="0.3">
      <c r="B38" s="12" t="s">
        <v>89</v>
      </c>
      <c r="C38" s="13">
        <v>24</v>
      </c>
      <c r="D38" s="14" t="s">
        <v>85</v>
      </c>
      <c r="E38" s="15" t="s">
        <v>90</v>
      </c>
    </row>
    <row r="39" spans="2:5" ht="15.75" customHeight="1" x14ac:dyDescent="0.3">
      <c r="B39" s="8" t="s">
        <v>91</v>
      </c>
      <c r="C39" s="9">
        <v>8</v>
      </c>
      <c r="D39" s="10" t="s">
        <v>92</v>
      </c>
      <c r="E39" s="11"/>
    </row>
    <row r="40" spans="2:5" ht="15.75" customHeight="1" x14ac:dyDescent="0.3">
      <c r="B40" s="12" t="s">
        <v>93</v>
      </c>
      <c r="C40" s="13">
        <v>10</v>
      </c>
      <c r="D40" s="14" t="s">
        <v>92</v>
      </c>
      <c r="E40" s="15"/>
    </row>
    <row r="41" spans="2:5" ht="15.75" customHeight="1" x14ac:dyDescent="0.3">
      <c r="B41" s="8" t="s">
        <v>94</v>
      </c>
      <c r="C41" s="9">
        <v>9</v>
      </c>
      <c r="D41" s="10" t="s">
        <v>95</v>
      </c>
      <c r="E41" s="11"/>
    </row>
    <row r="42" spans="2:5" ht="15.75" customHeight="1" x14ac:dyDescent="0.3">
      <c r="B42" s="12" t="s">
        <v>96</v>
      </c>
      <c r="C42" s="13">
        <v>12</v>
      </c>
      <c r="D42" s="14" t="s">
        <v>95</v>
      </c>
      <c r="E42" s="15"/>
    </row>
    <row r="43" spans="2:5" ht="14.25" customHeight="1" x14ac:dyDescent="0.3"/>
    <row r="44" spans="2:5" ht="21.75" customHeight="1" x14ac:dyDescent="0.3">
      <c r="B44" s="125" t="s">
        <v>97</v>
      </c>
      <c r="C44" s="117"/>
      <c r="D44" s="117"/>
      <c r="E44" s="117"/>
    </row>
    <row r="45" spans="2:5" ht="14.25" customHeight="1" x14ac:dyDescent="0.3">
      <c r="B45" s="31" t="s">
        <v>29</v>
      </c>
      <c r="C45" s="31" t="s">
        <v>30</v>
      </c>
      <c r="D45" s="31" t="s">
        <v>31</v>
      </c>
      <c r="E45" s="31" t="s">
        <v>32</v>
      </c>
    </row>
    <row r="46" spans="2:5" ht="14.25" customHeight="1" x14ac:dyDescent="0.3">
      <c r="B46" s="27" t="s">
        <v>98</v>
      </c>
      <c r="C46" s="32">
        <v>3</v>
      </c>
      <c r="D46" s="29" t="s">
        <v>62</v>
      </c>
      <c r="E46" s="30" t="s">
        <v>99</v>
      </c>
    </row>
    <row r="47" spans="2:5" ht="14.25" customHeight="1" x14ac:dyDescent="0.3">
      <c r="B47" s="27" t="s">
        <v>100</v>
      </c>
      <c r="C47" s="32">
        <v>3</v>
      </c>
      <c r="D47" s="29" t="s">
        <v>101</v>
      </c>
      <c r="E47" s="30" t="s">
        <v>102</v>
      </c>
    </row>
    <row r="48" spans="2:5" ht="14.25" customHeight="1" x14ac:dyDescent="0.3">
      <c r="B48" s="27" t="s">
        <v>103</v>
      </c>
      <c r="C48" s="33">
        <f>C46*C47</f>
        <v>9</v>
      </c>
      <c r="D48" s="29" t="s">
        <v>62</v>
      </c>
      <c r="E48" s="30" t="s">
        <v>104</v>
      </c>
    </row>
    <row r="49" spans="2:5" ht="14.25" customHeight="1" x14ac:dyDescent="0.3">
      <c r="B49" s="34" t="s">
        <v>105</v>
      </c>
      <c r="C49" s="35">
        <f>C24+C48</f>
        <v>17</v>
      </c>
      <c r="D49" s="29" t="s">
        <v>62</v>
      </c>
      <c r="E49" s="30" t="s">
        <v>106</v>
      </c>
    </row>
    <row r="50" spans="2:5" ht="14.25" customHeight="1" x14ac:dyDescent="0.3"/>
    <row r="51" spans="2:5" ht="21.75" customHeight="1" x14ac:dyDescent="0.3">
      <c r="B51" s="126" t="s">
        <v>107</v>
      </c>
      <c r="C51" s="117"/>
      <c r="D51" s="117"/>
      <c r="E51" s="117"/>
    </row>
    <row r="52" spans="2:5" ht="14.25" customHeight="1" x14ac:dyDescent="0.3">
      <c r="B52" s="31" t="s">
        <v>29</v>
      </c>
      <c r="C52" s="31" t="s">
        <v>30</v>
      </c>
      <c r="D52" s="31" t="s">
        <v>31</v>
      </c>
      <c r="E52" s="31" t="s">
        <v>32</v>
      </c>
    </row>
    <row r="53" spans="2:5" ht="14.25" customHeight="1" x14ac:dyDescent="0.3">
      <c r="B53" s="27" t="s">
        <v>108</v>
      </c>
      <c r="C53" s="32">
        <v>6</v>
      </c>
      <c r="D53" s="29" t="s">
        <v>109</v>
      </c>
      <c r="E53" s="30" t="s">
        <v>110</v>
      </c>
    </row>
    <row r="54" spans="2:5" ht="14.25" customHeight="1" x14ac:dyDescent="0.3">
      <c r="B54" s="34" t="s">
        <v>111</v>
      </c>
      <c r="C54" s="36">
        <f>C53*C55*C56</f>
        <v>132000000</v>
      </c>
      <c r="D54" s="29" t="s">
        <v>112</v>
      </c>
      <c r="E54" s="30" t="s">
        <v>113</v>
      </c>
    </row>
    <row r="55" spans="2:5" ht="14.25" customHeight="1" x14ac:dyDescent="0.3">
      <c r="B55" s="27" t="s">
        <v>114</v>
      </c>
      <c r="C55" s="32">
        <v>4</v>
      </c>
      <c r="D55" s="29" t="s">
        <v>115</v>
      </c>
      <c r="E55" s="30" t="s">
        <v>116</v>
      </c>
    </row>
    <row r="56" spans="2:5" ht="14.25" customHeight="1" x14ac:dyDescent="0.3">
      <c r="B56" s="27" t="s">
        <v>117</v>
      </c>
      <c r="C56" s="37">
        <v>5500000</v>
      </c>
      <c r="D56" s="29" t="s">
        <v>55</v>
      </c>
      <c r="E56" s="30" t="s">
        <v>118</v>
      </c>
    </row>
    <row r="57" spans="2:5" ht="14.25" customHeight="1" x14ac:dyDescent="0.3">
      <c r="B57" s="38"/>
      <c r="C57" s="38"/>
      <c r="D57" s="38"/>
      <c r="E57" s="38"/>
    </row>
    <row r="58" spans="2:5" ht="14.25" customHeight="1" x14ac:dyDescent="0.3">
      <c r="B58" s="38"/>
      <c r="C58" s="38"/>
      <c r="D58" s="38"/>
      <c r="E58" s="38"/>
    </row>
    <row r="59" spans="2:5" ht="14.25" customHeight="1" x14ac:dyDescent="0.3">
      <c r="B59" s="38"/>
      <c r="C59" s="38"/>
      <c r="D59" s="38"/>
      <c r="E59" s="38"/>
    </row>
    <row r="60" spans="2:5" ht="14.25" customHeight="1" x14ac:dyDescent="0.3"/>
    <row r="61" spans="2:5" ht="14.25" customHeight="1" x14ac:dyDescent="0.3"/>
    <row r="62" spans="2:5" ht="14.25" customHeight="1" x14ac:dyDescent="0.3"/>
    <row r="63" spans="2:5" ht="14.25" customHeight="1" x14ac:dyDescent="0.3"/>
    <row r="64" spans="2: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B51:E51"/>
    <mergeCell ref="B34:E34"/>
    <mergeCell ref="B10:E10"/>
    <mergeCell ref="B26:E26"/>
    <mergeCell ref="B17:E17"/>
    <mergeCell ref="B1:E1"/>
    <mergeCell ref="B44:E44"/>
    <mergeCell ref="B3:E3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000"/>
  <sheetViews>
    <sheetView showGridLines="0" tabSelected="1" topLeftCell="A32" zoomScaleNormal="100" workbookViewId="0"/>
  </sheetViews>
  <sheetFormatPr baseColWidth="10" defaultColWidth="14.44140625" defaultRowHeight="14.4" x14ac:dyDescent="0.3"/>
  <cols>
    <col min="1" max="1" width="2" customWidth="1"/>
    <col min="2" max="2" width="9" customWidth="1"/>
    <col min="3" max="3" width="50" customWidth="1"/>
    <col min="4" max="4" width="7" customWidth="1"/>
    <col min="5" max="5" width="9" customWidth="1"/>
    <col min="6" max="7" width="18" customWidth="1"/>
    <col min="8" max="8" width="20.6640625" customWidth="1"/>
    <col min="9" max="9" width="14" customWidth="1"/>
    <col min="10" max="10" width="38" customWidth="1"/>
    <col min="11" max="26" width="8.6640625" customWidth="1"/>
  </cols>
  <sheetData>
    <row r="1" spans="1:10" ht="27.75" customHeight="1" x14ac:dyDescent="0.3">
      <c r="A1" s="38"/>
      <c r="B1" s="135" t="s">
        <v>119</v>
      </c>
      <c r="C1" s="117"/>
      <c r="D1" s="117"/>
      <c r="E1" s="117"/>
      <c r="F1" s="117"/>
      <c r="G1" s="117"/>
      <c r="H1" s="117"/>
      <c r="I1" s="117"/>
      <c r="J1" s="117"/>
    </row>
    <row r="2" spans="1:10" ht="31.5" customHeight="1" x14ac:dyDescent="0.3">
      <c r="A2" s="38"/>
      <c r="B2" s="39" t="s">
        <v>120</v>
      </c>
      <c r="C2" s="39" t="s">
        <v>121</v>
      </c>
      <c r="D2" s="39" t="s">
        <v>122</v>
      </c>
      <c r="E2" s="39" t="s">
        <v>123</v>
      </c>
      <c r="F2" s="39" t="s">
        <v>124</v>
      </c>
      <c r="G2" s="39" t="s">
        <v>125</v>
      </c>
      <c r="H2" s="39" t="s">
        <v>126</v>
      </c>
      <c r="I2" s="39" t="s">
        <v>127</v>
      </c>
      <c r="J2" s="39" t="s">
        <v>128</v>
      </c>
    </row>
    <row r="3" spans="1:10" ht="21.75" customHeight="1" x14ac:dyDescent="0.3">
      <c r="A3" s="38"/>
      <c r="B3" s="130" t="s">
        <v>129</v>
      </c>
      <c r="C3" s="117"/>
      <c r="D3" s="117"/>
      <c r="E3" s="117"/>
      <c r="F3" s="117"/>
      <c r="G3" s="117"/>
      <c r="H3" s="117"/>
      <c r="I3" s="117"/>
      <c r="J3" s="117"/>
    </row>
    <row r="4" spans="1:10" ht="31.05" customHeight="1" x14ac:dyDescent="0.3">
      <c r="A4" s="38"/>
      <c r="B4" s="40" t="s">
        <v>130</v>
      </c>
      <c r="C4" s="41" t="s">
        <v>131</v>
      </c>
      <c r="D4" s="42">
        <v>1</v>
      </c>
      <c r="E4" s="43" t="s">
        <v>132</v>
      </c>
      <c r="F4" s="44">
        <v>230829100</v>
      </c>
      <c r="G4" s="45">
        <f>ROUND(F4*0.1,0)</f>
        <v>23082910</v>
      </c>
      <c r="H4" s="46">
        <f>D4*(F4+G4)</f>
        <v>253912010</v>
      </c>
      <c r="I4" s="47" t="s">
        <v>133</v>
      </c>
      <c r="J4" s="48" t="s">
        <v>134</v>
      </c>
    </row>
    <row r="5" spans="1:10" ht="31.05" customHeight="1" x14ac:dyDescent="0.3">
      <c r="A5" s="38"/>
      <c r="B5" s="40" t="s">
        <v>135</v>
      </c>
      <c r="C5" s="41" t="s">
        <v>136</v>
      </c>
      <c r="D5" s="42">
        <v>1</v>
      </c>
      <c r="E5" s="43" t="s">
        <v>132</v>
      </c>
      <c r="F5" s="44">
        <v>141475900</v>
      </c>
      <c r="G5" s="45">
        <f>ROUND(F5*0.1,0)</f>
        <v>14147590</v>
      </c>
      <c r="H5" s="46">
        <f>D5*(F5+G5)</f>
        <v>155623490</v>
      </c>
      <c r="I5" s="47" t="s">
        <v>137</v>
      </c>
      <c r="J5" s="48" t="s">
        <v>138</v>
      </c>
    </row>
    <row r="6" spans="1:10" ht="31.05" customHeight="1" x14ac:dyDescent="0.3">
      <c r="A6" s="38"/>
      <c r="B6" s="40" t="s">
        <v>139</v>
      </c>
      <c r="C6" s="41" t="s">
        <v>140</v>
      </c>
      <c r="D6" s="42">
        <v>2</v>
      </c>
      <c r="E6" s="43" t="s">
        <v>132</v>
      </c>
      <c r="F6" s="44">
        <v>46538125</v>
      </c>
      <c r="G6" s="45">
        <f>ROUND(F6*0.1,0)</f>
        <v>4653813</v>
      </c>
      <c r="H6" s="46">
        <f>D6*(F6+G6)</f>
        <v>102383876</v>
      </c>
      <c r="I6" s="47" t="s">
        <v>141</v>
      </c>
      <c r="J6" s="48" t="s">
        <v>142</v>
      </c>
    </row>
    <row r="7" spans="1:10" ht="21.75" customHeight="1" x14ac:dyDescent="0.3">
      <c r="A7" s="38"/>
      <c r="B7" s="128" t="s">
        <v>143</v>
      </c>
      <c r="C7" s="117"/>
      <c r="D7" s="117"/>
      <c r="E7" s="117"/>
      <c r="F7" s="117"/>
      <c r="G7" s="117"/>
      <c r="H7" s="117"/>
      <c r="I7" s="117"/>
      <c r="J7" s="117"/>
    </row>
    <row r="8" spans="1:10" ht="19.5" customHeight="1" x14ac:dyDescent="0.3">
      <c r="A8" s="38"/>
      <c r="B8" s="136" t="s">
        <v>144</v>
      </c>
      <c r="C8" s="117"/>
      <c r="D8" s="117"/>
      <c r="E8" s="117"/>
      <c r="F8" s="117"/>
      <c r="G8" s="117"/>
      <c r="H8" s="117"/>
      <c r="I8" s="117"/>
      <c r="J8" s="117"/>
    </row>
    <row r="9" spans="1:10" ht="44.55" customHeight="1" x14ac:dyDescent="0.3">
      <c r="A9" s="38"/>
      <c r="B9" s="40" t="s">
        <v>145</v>
      </c>
      <c r="C9" s="41" t="s">
        <v>146</v>
      </c>
      <c r="D9" s="42">
        <v>1</v>
      </c>
      <c r="E9" s="43" t="s">
        <v>132</v>
      </c>
      <c r="F9" s="44">
        <v>33507450</v>
      </c>
      <c r="G9" s="45">
        <f>ROUND(F9*0.1,0)</f>
        <v>3350745</v>
      </c>
      <c r="H9" s="46">
        <f>D9*(F9+G9)</f>
        <v>36858195</v>
      </c>
      <c r="I9" s="47" t="s">
        <v>147</v>
      </c>
      <c r="J9" s="48" t="s">
        <v>148</v>
      </c>
    </row>
    <row r="10" spans="1:10" ht="18" customHeight="1" x14ac:dyDescent="0.3">
      <c r="A10" s="38"/>
      <c r="B10" s="40" t="s">
        <v>149</v>
      </c>
      <c r="C10" s="41" t="s">
        <v>150</v>
      </c>
      <c r="D10" s="42">
        <v>1</v>
      </c>
      <c r="E10" s="43" t="s">
        <v>132</v>
      </c>
      <c r="F10" s="44">
        <v>6701490</v>
      </c>
      <c r="G10" s="45">
        <f>ROUND(F10*0.1,0)</f>
        <v>670149</v>
      </c>
      <c r="H10" s="46">
        <f>D10*(F10+G10)</f>
        <v>7371639</v>
      </c>
      <c r="I10" s="47" t="s">
        <v>151</v>
      </c>
      <c r="J10" s="48" t="s">
        <v>152</v>
      </c>
    </row>
    <row r="11" spans="1:10" ht="18" customHeight="1" x14ac:dyDescent="0.3">
      <c r="A11" s="38"/>
      <c r="B11" s="40" t="s">
        <v>153</v>
      </c>
      <c r="C11" s="41" t="s">
        <v>154</v>
      </c>
      <c r="D11" s="42">
        <v>2</v>
      </c>
      <c r="E11" s="43" t="s">
        <v>132</v>
      </c>
      <c r="F11" s="44">
        <v>2233830</v>
      </c>
      <c r="G11" s="45">
        <f>ROUND(F11*0.1,0)</f>
        <v>223383</v>
      </c>
      <c r="H11" s="46">
        <f>D11*(F11+G11)</f>
        <v>4914426</v>
      </c>
      <c r="I11" s="47" t="s">
        <v>155</v>
      </c>
      <c r="J11" s="48" t="s">
        <v>152</v>
      </c>
    </row>
    <row r="12" spans="1:10" ht="18" customHeight="1" x14ac:dyDescent="0.3">
      <c r="A12" s="38"/>
      <c r="B12" s="40" t="s">
        <v>156</v>
      </c>
      <c r="C12" s="41" t="s">
        <v>157</v>
      </c>
      <c r="D12" s="42">
        <v>1</v>
      </c>
      <c r="E12" s="43" t="s">
        <v>158</v>
      </c>
      <c r="F12" s="44">
        <v>4467660</v>
      </c>
      <c r="G12" s="45">
        <f>ROUND(F12*0.1,0)</f>
        <v>446766</v>
      </c>
      <c r="H12" s="46">
        <f>D12*(F12+G12)</f>
        <v>4914426</v>
      </c>
      <c r="I12" s="47" t="s">
        <v>159</v>
      </c>
      <c r="J12" s="48" t="s">
        <v>152</v>
      </c>
    </row>
    <row r="13" spans="1:10" ht="31.05" customHeight="1" x14ac:dyDescent="0.3">
      <c r="A13" s="38"/>
      <c r="B13" s="40" t="s">
        <v>160</v>
      </c>
      <c r="C13" s="41" t="s">
        <v>161</v>
      </c>
      <c r="D13" s="42">
        <v>2</v>
      </c>
      <c r="E13" s="43" t="s">
        <v>132</v>
      </c>
      <c r="F13" s="44">
        <v>1489220</v>
      </c>
      <c r="G13" s="45">
        <f>ROUND(F13*0.1,0)</f>
        <v>148922</v>
      </c>
      <c r="H13" s="46">
        <f>D13*(F13+G13)</f>
        <v>3276284</v>
      </c>
      <c r="I13" s="47" t="s">
        <v>162</v>
      </c>
      <c r="J13" s="48" t="s">
        <v>152</v>
      </c>
    </row>
    <row r="14" spans="1:10" ht="19.5" customHeight="1" x14ac:dyDescent="0.3">
      <c r="A14" s="38"/>
      <c r="B14" s="133" t="s">
        <v>163</v>
      </c>
      <c r="C14" s="117"/>
      <c r="D14" s="117"/>
      <c r="E14" s="117"/>
      <c r="F14" s="117"/>
      <c r="G14" s="117"/>
      <c r="H14" s="117"/>
      <c r="I14" s="117"/>
      <c r="J14" s="117"/>
    </row>
    <row r="15" spans="1:10" ht="44.55" customHeight="1" x14ac:dyDescent="0.3">
      <c r="A15" s="38"/>
      <c r="B15" s="40" t="s">
        <v>164</v>
      </c>
      <c r="C15" s="41" t="s">
        <v>165</v>
      </c>
      <c r="D15" s="42">
        <v>1</v>
      </c>
      <c r="E15" s="43" t="s">
        <v>132</v>
      </c>
      <c r="F15" s="44">
        <v>18615250</v>
      </c>
      <c r="G15" s="45">
        <f>ROUND(F15*0.1,0)</f>
        <v>1861525</v>
      </c>
      <c r="H15" s="46">
        <f>D15*(F15+G15)</f>
        <v>20476775</v>
      </c>
      <c r="I15" s="47" t="s">
        <v>166</v>
      </c>
      <c r="J15" s="48" t="s">
        <v>148</v>
      </c>
    </row>
    <row r="16" spans="1:10" ht="18" customHeight="1" x14ac:dyDescent="0.3">
      <c r="A16" s="38"/>
      <c r="B16" s="40" t="s">
        <v>167</v>
      </c>
      <c r="C16" s="41" t="s">
        <v>168</v>
      </c>
      <c r="D16" s="42">
        <v>1</v>
      </c>
      <c r="E16" s="43" t="s">
        <v>132</v>
      </c>
      <c r="F16" s="44">
        <v>4467660</v>
      </c>
      <c r="G16" s="45">
        <f>ROUND(F16*0.1,0)</f>
        <v>446766</v>
      </c>
      <c r="H16" s="46">
        <f>D16*(F16+G16)</f>
        <v>4914426</v>
      </c>
      <c r="I16" s="47" t="s">
        <v>159</v>
      </c>
      <c r="J16" s="48" t="s">
        <v>152</v>
      </c>
    </row>
    <row r="17" spans="1:10" ht="18" customHeight="1" x14ac:dyDescent="0.3">
      <c r="A17" s="38"/>
      <c r="B17" s="40" t="s">
        <v>169</v>
      </c>
      <c r="C17" s="41" t="s">
        <v>170</v>
      </c>
      <c r="D17" s="42">
        <v>2</v>
      </c>
      <c r="E17" s="43" t="s">
        <v>132</v>
      </c>
      <c r="F17" s="44">
        <v>2233830</v>
      </c>
      <c r="G17" s="45">
        <f>ROUND(F17*0.1,0)</f>
        <v>223383</v>
      </c>
      <c r="H17" s="46">
        <f>D17*(F17+G17)</f>
        <v>4914426</v>
      </c>
      <c r="I17" s="47" t="s">
        <v>155</v>
      </c>
      <c r="J17" s="48" t="s">
        <v>152</v>
      </c>
    </row>
    <row r="18" spans="1:10" ht="18" customHeight="1" x14ac:dyDescent="0.3">
      <c r="A18" s="38"/>
      <c r="B18" s="40" t="s">
        <v>171</v>
      </c>
      <c r="C18" s="41" t="s">
        <v>172</v>
      </c>
      <c r="D18" s="42">
        <v>1</v>
      </c>
      <c r="E18" s="43" t="s">
        <v>158</v>
      </c>
      <c r="F18" s="44">
        <v>2978440</v>
      </c>
      <c r="G18" s="45">
        <f>ROUND(F18*0.1,0)</f>
        <v>297844</v>
      </c>
      <c r="H18" s="46">
        <f>D18*(F18+G18)</f>
        <v>3276284</v>
      </c>
      <c r="I18" s="47" t="s">
        <v>173</v>
      </c>
      <c r="J18" s="48" t="s">
        <v>152</v>
      </c>
    </row>
    <row r="19" spans="1:10" ht="31.05" customHeight="1" x14ac:dyDescent="0.3">
      <c r="A19" s="38"/>
      <c r="B19" s="40" t="s">
        <v>174</v>
      </c>
      <c r="C19" s="41" t="s">
        <v>175</v>
      </c>
      <c r="D19" s="42">
        <v>2</v>
      </c>
      <c r="E19" s="43" t="s">
        <v>132</v>
      </c>
      <c r="F19" s="44">
        <v>1489220</v>
      </c>
      <c r="G19" s="45">
        <f>ROUND(F19*0.1,0)</f>
        <v>148922</v>
      </c>
      <c r="H19" s="46">
        <f>D19*(F19+G19)</f>
        <v>3276284</v>
      </c>
      <c r="I19" s="47" t="s">
        <v>162</v>
      </c>
      <c r="J19" s="48" t="s">
        <v>152</v>
      </c>
    </row>
    <row r="20" spans="1:10" ht="21.75" customHeight="1" x14ac:dyDescent="0.3">
      <c r="A20" s="38"/>
      <c r="B20" s="131" t="s">
        <v>176</v>
      </c>
      <c r="C20" s="117"/>
      <c r="D20" s="117"/>
      <c r="E20" s="117"/>
      <c r="F20" s="117"/>
      <c r="G20" s="117"/>
      <c r="H20" s="117"/>
      <c r="I20" s="117"/>
      <c r="J20" s="117"/>
    </row>
    <row r="21" spans="1:10" ht="44.55" customHeight="1" x14ac:dyDescent="0.3">
      <c r="A21" s="38"/>
      <c r="B21" s="40" t="s">
        <v>177</v>
      </c>
      <c r="C21" s="41" t="s">
        <v>178</v>
      </c>
      <c r="D21" s="42">
        <v>2</v>
      </c>
      <c r="E21" s="43" t="s">
        <v>132</v>
      </c>
      <c r="F21" s="44">
        <v>29784400</v>
      </c>
      <c r="G21" s="45">
        <f t="shared" ref="G21:G32" si="0">ROUND(F21*0.1,0)</f>
        <v>2978440</v>
      </c>
      <c r="H21" s="46">
        <f t="shared" ref="H21:H32" si="1">D21*(F21+G21)</f>
        <v>65525680</v>
      </c>
      <c r="I21" s="47" t="s">
        <v>179</v>
      </c>
      <c r="J21" s="48" t="s">
        <v>180</v>
      </c>
    </row>
    <row r="22" spans="1:10" ht="18" customHeight="1" x14ac:dyDescent="0.3">
      <c r="A22" s="38"/>
      <c r="B22" s="40" t="s">
        <v>181</v>
      </c>
      <c r="C22" s="41" t="s">
        <v>182</v>
      </c>
      <c r="D22" s="42">
        <v>2</v>
      </c>
      <c r="E22" s="43" t="s">
        <v>132</v>
      </c>
      <c r="F22" s="44">
        <v>2047678</v>
      </c>
      <c r="G22" s="45">
        <f t="shared" si="0"/>
        <v>204768</v>
      </c>
      <c r="H22" s="46">
        <f t="shared" si="1"/>
        <v>4504892</v>
      </c>
      <c r="I22" s="47" t="s">
        <v>183</v>
      </c>
      <c r="J22" s="48" t="s">
        <v>184</v>
      </c>
    </row>
    <row r="23" spans="1:10" ht="31.05" customHeight="1" x14ac:dyDescent="0.3">
      <c r="A23" s="38"/>
      <c r="B23" s="40" t="s">
        <v>185</v>
      </c>
      <c r="C23" s="41" t="s">
        <v>186</v>
      </c>
      <c r="D23" s="42">
        <v>4</v>
      </c>
      <c r="E23" s="43" t="s">
        <v>132</v>
      </c>
      <c r="F23" s="44">
        <v>1563681</v>
      </c>
      <c r="G23" s="45">
        <f t="shared" si="0"/>
        <v>156368</v>
      </c>
      <c r="H23" s="46">
        <f t="shared" si="1"/>
        <v>6880196</v>
      </c>
      <c r="I23" s="47" t="s">
        <v>187</v>
      </c>
      <c r="J23" s="48" t="s">
        <v>184</v>
      </c>
    </row>
    <row r="24" spans="1:10" ht="31.05" customHeight="1" x14ac:dyDescent="0.3">
      <c r="A24" s="38"/>
      <c r="B24" s="40" t="s">
        <v>188</v>
      </c>
      <c r="C24" s="41" t="s">
        <v>189</v>
      </c>
      <c r="D24" s="42">
        <v>4</v>
      </c>
      <c r="E24" s="43" t="s">
        <v>132</v>
      </c>
      <c r="F24" s="44">
        <v>1563681</v>
      </c>
      <c r="G24" s="45">
        <f t="shared" si="0"/>
        <v>156368</v>
      </c>
      <c r="H24" s="46">
        <f t="shared" si="1"/>
        <v>6880196</v>
      </c>
      <c r="I24" s="47" t="s">
        <v>187</v>
      </c>
      <c r="J24" s="48" t="s">
        <v>184</v>
      </c>
    </row>
    <row r="25" spans="1:10" ht="31.05" customHeight="1" x14ac:dyDescent="0.3">
      <c r="A25" s="38"/>
      <c r="B25" s="40" t="s">
        <v>190</v>
      </c>
      <c r="C25" s="41" t="s">
        <v>191</v>
      </c>
      <c r="D25" s="42">
        <v>2</v>
      </c>
      <c r="E25" s="43" t="s">
        <v>132</v>
      </c>
      <c r="F25" s="44">
        <v>2419982</v>
      </c>
      <c r="G25" s="45">
        <f t="shared" si="0"/>
        <v>241998</v>
      </c>
      <c r="H25" s="46">
        <f t="shared" si="1"/>
        <v>5323960</v>
      </c>
      <c r="I25" s="47" t="s">
        <v>192</v>
      </c>
      <c r="J25" s="48" t="s">
        <v>184</v>
      </c>
    </row>
    <row r="26" spans="1:10" ht="31.05" customHeight="1" x14ac:dyDescent="0.3">
      <c r="A26" s="38"/>
      <c r="B26" s="40" t="s">
        <v>193</v>
      </c>
      <c r="C26" s="41" t="s">
        <v>194</v>
      </c>
      <c r="D26" s="42">
        <v>2</v>
      </c>
      <c r="E26" s="43" t="s">
        <v>132</v>
      </c>
      <c r="F26" s="44">
        <v>13030675</v>
      </c>
      <c r="G26" s="45">
        <f t="shared" si="0"/>
        <v>1303068</v>
      </c>
      <c r="H26" s="46">
        <f t="shared" si="1"/>
        <v>28667486</v>
      </c>
      <c r="I26" s="47" t="s">
        <v>195</v>
      </c>
      <c r="J26" s="48" t="s">
        <v>184</v>
      </c>
    </row>
    <row r="27" spans="1:10" ht="31.05" customHeight="1" x14ac:dyDescent="0.3">
      <c r="A27" s="38"/>
      <c r="B27" s="40" t="s">
        <v>196</v>
      </c>
      <c r="C27" s="41" t="s">
        <v>197</v>
      </c>
      <c r="D27" s="42">
        <v>2</v>
      </c>
      <c r="E27" s="43" t="s">
        <v>132</v>
      </c>
      <c r="F27" s="44">
        <v>3350745</v>
      </c>
      <c r="G27" s="45">
        <f t="shared" si="0"/>
        <v>335075</v>
      </c>
      <c r="H27" s="46">
        <f t="shared" si="1"/>
        <v>7371640</v>
      </c>
      <c r="I27" s="47" t="s">
        <v>198</v>
      </c>
      <c r="J27" s="48" t="s">
        <v>184</v>
      </c>
    </row>
    <row r="28" spans="1:10" ht="18" customHeight="1" x14ac:dyDescent="0.3">
      <c r="A28" s="38"/>
      <c r="B28" s="40" t="s">
        <v>199</v>
      </c>
      <c r="C28" s="41" t="s">
        <v>200</v>
      </c>
      <c r="D28" s="42">
        <v>2</v>
      </c>
      <c r="E28" s="43" t="s">
        <v>132</v>
      </c>
      <c r="F28" s="44">
        <v>1303068</v>
      </c>
      <c r="G28" s="45">
        <f t="shared" si="0"/>
        <v>130307</v>
      </c>
      <c r="H28" s="46">
        <f t="shared" si="1"/>
        <v>2866750</v>
      </c>
      <c r="I28" s="47" t="s">
        <v>201</v>
      </c>
      <c r="J28" s="48" t="s">
        <v>202</v>
      </c>
    </row>
    <row r="29" spans="1:10" ht="31.05" customHeight="1" x14ac:dyDescent="0.3">
      <c r="A29" s="38"/>
      <c r="B29" s="40" t="s">
        <v>203</v>
      </c>
      <c r="C29" s="41" t="s">
        <v>204</v>
      </c>
      <c r="D29" s="42">
        <v>8</v>
      </c>
      <c r="E29" s="43" t="s">
        <v>132</v>
      </c>
      <c r="F29" s="44">
        <v>223383</v>
      </c>
      <c r="G29" s="45">
        <f t="shared" si="0"/>
        <v>22338</v>
      </c>
      <c r="H29" s="46">
        <f t="shared" si="1"/>
        <v>1965768</v>
      </c>
      <c r="I29" s="47" t="s">
        <v>205</v>
      </c>
      <c r="J29" s="48" t="s">
        <v>202</v>
      </c>
    </row>
    <row r="30" spans="1:10" ht="31.05" customHeight="1" x14ac:dyDescent="0.3">
      <c r="A30" s="38"/>
      <c r="B30" s="40" t="s">
        <v>206</v>
      </c>
      <c r="C30" s="41" t="s">
        <v>207</v>
      </c>
      <c r="D30" s="42">
        <v>2</v>
      </c>
      <c r="E30" s="43" t="s">
        <v>132</v>
      </c>
      <c r="F30" s="44">
        <v>10424540</v>
      </c>
      <c r="G30" s="45">
        <f t="shared" si="0"/>
        <v>1042454</v>
      </c>
      <c r="H30" s="46">
        <f t="shared" si="1"/>
        <v>22933988</v>
      </c>
      <c r="I30" s="47" t="s">
        <v>208</v>
      </c>
      <c r="J30" s="48" t="s">
        <v>209</v>
      </c>
    </row>
    <row r="31" spans="1:10" ht="31.05" customHeight="1" x14ac:dyDescent="0.3">
      <c r="A31" s="38"/>
      <c r="B31" s="40" t="s">
        <v>210</v>
      </c>
      <c r="C31" s="41" t="s">
        <v>211</v>
      </c>
      <c r="D31" s="42">
        <v>1</v>
      </c>
      <c r="E31" s="43" t="s">
        <v>158</v>
      </c>
      <c r="F31" s="44">
        <v>5584575</v>
      </c>
      <c r="G31" s="45">
        <f t="shared" si="0"/>
        <v>558458</v>
      </c>
      <c r="H31" s="46">
        <f t="shared" si="1"/>
        <v>6143033</v>
      </c>
      <c r="I31" s="47" t="s">
        <v>212</v>
      </c>
      <c r="J31" s="48" t="s">
        <v>213</v>
      </c>
    </row>
    <row r="32" spans="1:10" ht="31.05" customHeight="1" x14ac:dyDescent="0.3">
      <c r="A32" s="38"/>
      <c r="B32" s="40" t="s">
        <v>214</v>
      </c>
      <c r="C32" s="41" t="s">
        <v>215</v>
      </c>
      <c r="D32" s="42">
        <v>1</v>
      </c>
      <c r="E32" s="43" t="s">
        <v>158</v>
      </c>
      <c r="F32" s="44">
        <v>16753725</v>
      </c>
      <c r="G32" s="45">
        <f t="shared" si="0"/>
        <v>1675373</v>
      </c>
      <c r="H32" s="46">
        <f t="shared" si="1"/>
        <v>18429098</v>
      </c>
      <c r="I32" s="47" t="s">
        <v>216</v>
      </c>
      <c r="J32" s="48" t="s">
        <v>217</v>
      </c>
    </row>
    <row r="33" spans="1:10" ht="21.75" customHeight="1" x14ac:dyDescent="0.3">
      <c r="A33" s="38"/>
      <c r="B33" s="127" t="s">
        <v>218</v>
      </c>
      <c r="C33" s="117"/>
      <c r="D33" s="117"/>
      <c r="E33" s="117"/>
      <c r="F33" s="117"/>
      <c r="G33" s="117"/>
      <c r="H33" s="117"/>
      <c r="I33" s="117"/>
      <c r="J33" s="117"/>
    </row>
    <row r="34" spans="1:10" ht="31.05" customHeight="1" x14ac:dyDescent="0.3">
      <c r="A34" s="38"/>
      <c r="B34" s="40" t="s">
        <v>219</v>
      </c>
      <c r="C34" s="41" t="s">
        <v>220</v>
      </c>
      <c r="D34" s="42">
        <v>1</v>
      </c>
      <c r="E34" s="43" t="s">
        <v>221</v>
      </c>
      <c r="F34" s="44">
        <v>37230500</v>
      </c>
      <c r="G34" s="45">
        <f t="shared" ref="G34:G45" si="2">ROUND(F34*0.1,0)</f>
        <v>3723050</v>
      </c>
      <c r="H34" s="46">
        <f t="shared" ref="H34:H45" si="3">D34*(F34+G34)</f>
        <v>40953550</v>
      </c>
      <c r="I34" s="47" t="s">
        <v>222</v>
      </c>
      <c r="J34" s="48" t="s">
        <v>223</v>
      </c>
    </row>
    <row r="35" spans="1:10" ht="31.05" customHeight="1" x14ac:dyDescent="0.3">
      <c r="A35" s="38"/>
      <c r="B35" s="40" t="s">
        <v>224</v>
      </c>
      <c r="C35" s="41" t="s">
        <v>225</v>
      </c>
      <c r="D35" s="42">
        <v>1</v>
      </c>
      <c r="E35" s="43" t="s">
        <v>221</v>
      </c>
      <c r="F35" s="44">
        <v>29784400</v>
      </c>
      <c r="G35" s="45">
        <f t="shared" si="2"/>
        <v>2978440</v>
      </c>
      <c r="H35" s="46">
        <f t="shared" si="3"/>
        <v>32762840</v>
      </c>
      <c r="I35" s="47" t="s">
        <v>179</v>
      </c>
      <c r="J35" s="48" t="s">
        <v>223</v>
      </c>
    </row>
    <row r="36" spans="1:10" ht="31.05" customHeight="1" x14ac:dyDescent="0.3">
      <c r="A36" s="38"/>
      <c r="B36" s="40" t="s">
        <v>226</v>
      </c>
      <c r="C36" s="41" t="s">
        <v>227</v>
      </c>
      <c r="D36" s="42">
        <v>1</v>
      </c>
      <c r="E36" s="43" t="s">
        <v>221</v>
      </c>
      <c r="F36" s="44">
        <v>27922875</v>
      </c>
      <c r="G36" s="45">
        <f t="shared" si="2"/>
        <v>2792288</v>
      </c>
      <c r="H36" s="46">
        <f t="shared" si="3"/>
        <v>30715163</v>
      </c>
      <c r="I36" s="47" t="s">
        <v>228</v>
      </c>
      <c r="J36" s="48" t="s">
        <v>223</v>
      </c>
    </row>
    <row r="37" spans="1:10" ht="31.05" customHeight="1" x14ac:dyDescent="0.3">
      <c r="A37" s="38"/>
      <c r="B37" s="40" t="s">
        <v>229</v>
      </c>
      <c r="C37" s="41" t="s">
        <v>230</v>
      </c>
      <c r="D37" s="42">
        <v>1</v>
      </c>
      <c r="E37" s="43" t="s">
        <v>221</v>
      </c>
      <c r="F37" s="44">
        <v>27922875</v>
      </c>
      <c r="G37" s="45">
        <f t="shared" si="2"/>
        <v>2792288</v>
      </c>
      <c r="H37" s="46">
        <f t="shared" si="3"/>
        <v>30715163</v>
      </c>
      <c r="I37" s="47" t="s">
        <v>228</v>
      </c>
      <c r="J37" s="48" t="s">
        <v>223</v>
      </c>
    </row>
    <row r="38" spans="1:10" ht="18" customHeight="1" x14ac:dyDescent="0.3">
      <c r="A38" s="38"/>
      <c r="B38" s="40" t="s">
        <v>231</v>
      </c>
      <c r="C38" s="41" t="s">
        <v>232</v>
      </c>
      <c r="D38" s="42">
        <v>1</v>
      </c>
      <c r="E38" s="43" t="s">
        <v>221</v>
      </c>
      <c r="F38" s="44">
        <v>22338300</v>
      </c>
      <c r="G38" s="45">
        <f t="shared" si="2"/>
        <v>2233830</v>
      </c>
      <c r="H38" s="46">
        <f t="shared" si="3"/>
        <v>24572130</v>
      </c>
      <c r="I38" s="47" t="s">
        <v>233</v>
      </c>
      <c r="J38" s="48" t="s">
        <v>234</v>
      </c>
    </row>
    <row r="39" spans="1:10" ht="18" customHeight="1" x14ac:dyDescent="0.3">
      <c r="A39" s="38"/>
      <c r="B39" s="40" t="s">
        <v>235</v>
      </c>
      <c r="C39" s="41" t="s">
        <v>236</v>
      </c>
      <c r="D39" s="42">
        <v>1</v>
      </c>
      <c r="E39" s="43" t="s">
        <v>221</v>
      </c>
      <c r="F39" s="44">
        <v>22338300</v>
      </c>
      <c r="G39" s="45">
        <f t="shared" si="2"/>
        <v>2233830</v>
      </c>
      <c r="H39" s="46">
        <f t="shared" si="3"/>
        <v>24572130</v>
      </c>
      <c r="I39" s="47" t="s">
        <v>233</v>
      </c>
      <c r="J39" s="48" t="s">
        <v>234</v>
      </c>
    </row>
    <row r="40" spans="1:10" ht="44.55" customHeight="1" x14ac:dyDescent="0.3">
      <c r="A40" s="38"/>
      <c r="B40" s="40" t="s">
        <v>237</v>
      </c>
      <c r="C40" s="41" t="s">
        <v>238</v>
      </c>
      <c r="D40" s="42">
        <v>1</v>
      </c>
      <c r="E40" s="43" t="s">
        <v>221</v>
      </c>
      <c r="F40" s="44">
        <v>13030675</v>
      </c>
      <c r="G40" s="45">
        <f t="shared" si="2"/>
        <v>1303068</v>
      </c>
      <c r="H40" s="46">
        <f t="shared" si="3"/>
        <v>14333743</v>
      </c>
      <c r="I40" s="47" t="s">
        <v>195</v>
      </c>
      <c r="J40" s="48" t="s">
        <v>234</v>
      </c>
    </row>
    <row r="41" spans="1:10" ht="31.05" customHeight="1" x14ac:dyDescent="0.3">
      <c r="A41" s="38"/>
      <c r="B41" s="40" t="s">
        <v>239</v>
      </c>
      <c r="C41" s="41" t="s">
        <v>240</v>
      </c>
      <c r="D41" s="42">
        <v>1</v>
      </c>
      <c r="E41" s="43" t="s">
        <v>132</v>
      </c>
      <c r="F41" s="44">
        <v>148922000</v>
      </c>
      <c r="G41" s="45">
        <f t="shared" si="2"/>
        <v>14892200</v>
      </c>
      <c r="H41" s="46">
        <f t="shared" si="3"/>
        <v>163814200</v>
      </c>
      <c r="I41" s="47" t="s">
        <v>241</v>
      </c>
      <c r="J41" s="48" t="s">
        <v>242</v>
      </c>
    </row>
    <row r="42" spans="1:10" ht="58.05" customHeight="1" x14ac:dyDescent="0.3">
      <c r="A42" s="38"/>
      <c r="B42" s="40" t="s">
        <v>243</v>
      </c>
      <c r="C42" s="41" t="s">
        <v>244</v>
      </c>
      <c r="D42" s="42">
        <v>1</v>
      </c>
      <c r="E42" s="43" t="s">
        <v>221</v>
      </c>
      <c r="F42" s="44">
        <v>111691500</v>
      </c>
      <c r="G42" s="45">
        <f t="shared" si="2"/>
        <v>11169150</v>
      </c>
      <c r="H42" s="46">
        <f t="shared" si="3"/>
        <v>122860650</v>
      </c>
      <c r="I42" s="47" t="s">
        <v>245</v>
      </c>
      <c r="J42" s="48" t="s">
        <v>246</v>
      </c>
    </row>
    <row r="43" spans="1:10" ht="31.05" customHeight="1" x14ac:dyDescent="0.3">
      <c r="A43" s="38"/>
      <c r="B43" s="40" t="s">
        <v>247</v>
      </c>
      <c r="C43" s="41" t="s">
        <v>248</v>
      </c>
      <c r="D43" s="42">
        <v>2</v>
      </c>
      <c r="E43" s="43" t="s">
        <v>221</v>
      </c>
      <c r="F43" s="44">
        <v>16753725</v>
      </c>
      <c r="G43" s="45">
        <f t="shared" si="2"/>
        <v>1675373</v>
      </c>
      <c r="H43" s="46">
        <f t="shared" si="3"/>
        <v>36858196</v>
      </c>
      <c r="I43" s="47" t="s">
        <v>249</v>
      </c>
      <c r="J43" s="48" t="s">
        <v>250</v>
      </c>
    </row>
    <row r="44" spans="1:10" ht="18" customHeight="1" x14ac:dyDescent="0.3">
      <c r="A44" s="38"/>
      <c r="B44" s="40" t="s">
        <v>251</v>
      </c>
      <c r="C44" s="41" t="s">
        <v>252</v>
      </c>
      <c r="D44" s="42">
        <v>2</v>
      </c>
      <c r="E44" s="43" t="s">
        <v>132</v>
      </c>
      <c r="F44" s="44">
        <v>1116915</v>
      </c>
      <c r="G44" s="45">
        <f t="shared" si="2"/>
        <v>111692</v>
      </c>
      <c r="H44" s="46">
        <f t="shared" si="3"/>
        <v>2457214</v>
      </c>
      <c r="I44" s="47" t="s">
        <v>253</v>
      </c>
      <c r="J44" s="48" t="s">
        <v>254</v>
      </c>
    </row>
    <row r="45" spans="1:10" ht="18" customHeight="1" x14ac:dyDescent="0.3">
      <c r="A45" s="38"/>
      <c r="B45" s="40" t="s">
        <v>255</v>
      </c>
      <c r="C45" s="41" t="s">
        <v>256</v>
      </c>
      <c r="D45" s="42">
        <v>6</v>
      </c>
      <c r="E45" s="43" t="s">
        <v>132</v>
      </c>
      <c r="F45" s="44">
        <v>1042454</v>
      </c>
      <c r="G45" s="45">
        <f t="shared" si="2"/>
        <v>104245</v>
      </c>
      <c r="H45" s="46">
        <f t="shared" si="3"/>
        <v>6880194</v>
      </c>
      <c r="I45" s="47" t="s">
        <v>257</v>
      </c>
      <c r="J45" s="48" t="s">
        <v>258</v>
      </c>
    </row>
    <row r="46" spans="1:10" ht="21.75" customHeight="1" x14ac:dyDescent="0.3">
      <c r="A46" s="38"/>
      <c r="B46" s="132" t="s">
        <v>259</v>
      </c>
      <c r="C46" s="117"/>
      <c r="D46" s="117"/>
      <c r="E46" s="117"/>
      <c r="F46" s="117"/>
      <c r="G46" s="117"/>
      <c r="H46" s="117"/>
      <c r="I46" s="117"/>
      <c r="J46" s="117"/>
    </row>
    <row r="47" spans="1:10" ht="31.05" customHeight="1" x14ac:dyDescent="0.3">
      <c r="A47" s="38"/>
      <c r="B47" s="40" t="s">
        <v>260</v>
      </c>
      <c r="C47" s="41" t="s">
        <v>261</v>
      </c>
      <c r="D47" s="42">
        <v>1</v>
      </c>
      <c r="E47" s="43" t="s">
        <v>262</v>
      </c>
      <c r="F47" s="44">
        <v>18000000</v>
      </c>
      <c r="G47" s="45">
        <v>0</v>
      </c>
      <c r="H47" s="46">
        <f>D47*(F47+G47)</f>
        <v>18000000</v>
      </c>
      <c r="I47" s="47" t="s">
        <v>263</v>
      </c>
      <c r="J47" s="48" t="s">
        <v>184</v>
      </c>
    </row>
    <row r="48" spans="1:10" ht="31.05" customHeight="1" x14ac:dyDescent="0.3">
      <c r="A48" s="38"/>
      <c r="B48" s="40" t="s">
        <v>264</v>
      </c>
      <c r="C48" s="41" t="s">
        <v>265</v>
      </c>
      <c r="D48" s="42">
        <v>1</v>
      </c>
      <c r="E48" s="43" t="s">
        <v>262</v>
      </c>
      <c r="F48" s="44">
        <v>9307625</v>
      </c>
      <c r="G48" s="45">
        <v>0</v>
      </c>
      <c r="H48" s="46">
        <f>D48*(F48+G48)</f>
        <v>9307625</v>
      </c>
      <c r="I48" s="47" t="s">
        <v>266</v>
      </c>
      <c r="J48" s="48" t="s">
        <v>267</v>
      </c>
    </row>
    <row r="49" spans="1:10" ht="19.5" customHeight="1" x14ac:dyDescent="0.3">
      <c r="A49" s="38"/>
      <c r="B49" s="137" t="s">
        <v>268</v>
      </c>
      <c r="C49" s="117"/>
      <c r="D49" s="117"/>
      <c r="E49" s="117"/>
      <c r="F49" s="117"/>
      <c r="G49" s="117"/>
      <c r="H49" s="117"/>
      <c r="I49" s="117"/>
      <c r="J49" s="117"/>
    </row>
    <row r="50" spans="1:10" ht="18" customHeight="1" x14ac:dyDescent="0.3">
      <c r="A50" s="38"/>
      <c r="B50" s="40" t="s">
        <v>269</v>
      </c>
      <c r="C50" s="41" t="s">
        <v>270</v>
      </c>
      <c r="D50" s="42">
        <v>1</v>
      </c>
      <c r="E50" s="43" t="s">
        <v>158</v>
      </c>
      <c r="F50" s="49">
        <f>ROUND(Supuestos!$C$54*0.04,0)</f>
        <v>5280000</v>
      </c>
      <c r="G50" s="45">
        <v>0</v>
      </c>
      <c r="H50" s="46">
        <f t="shared" ref="H50:H59" si="4">D50*(F50+G50)</f>
        <v>5280000</v>
      </c>
      <c r="I50" s="47" t="s">
        <v>271</v>
      </c>
      <c r="J50" s="48"/>
    </row>
    <row r="51" spans="1:10" ht="18" customHeight="1" x14ac:dyDescent="0.3">
      <c r="A51" s="38"/>
      <c r="B51" s="40" t="s">
        <v>272</v>
      </c>
      <c r="C51" s="41" t="s">
        <v>273</v>
      </c>
      <c r="D51" s="42">
        <v>1</v>
      </c>
      <c r="E51" s="43" t="s">
        <v>158</v>
      </c>
      <c r="F51" s="49">
        <f>ROUND(Supuestos!$C$54*0.06,0)</f>
        <v>7920000</v>
      </c>
      <c r="G51" s="45">
        <v>0</v>
      </c>
      <c r="H51" s="46">
        <f t="shared" si="4"/>
        <v>7920000</v>
      </c>
      <c r="I51" s="47" t="s">
        <v>274</v>
      </c>
      <c r="J51" s="48"/>
    </row>
    <row r="52" spans="1:10" ht="18" customHeight="1" x14ac:dyDescent="0.3">
      <c r="A52" s="38"/>
      <c r="B52" s="40" t="s">
        <v>275</v>
      </c>
      <c r="C52" s="41" t="s">
        <v>276</v>
      </c>
      <c r="D52" s="42">
        <v>1</v>
      </c>
      <c r="E52" s="43" t="s">
        <v>158</v>
      </c>
      <c r="F52" s="49">
        <f>ROUND(Supuestos!$C$54*0.18,0)</f>
        <v>23760000</v>
      </c>
      <c r="G52" s="45">
        <v>0</v>
      </c>
      <c r="H52" s="46">
        <f t="shared" si="4"/>
        <v>23760000</v>
      </c>
      <c r="I52" s="47" t="s">
        <v>277</v>
      </c>
      <c r="J52" s="48"/>
    </row>
    <row r="53" spans="1:10" ht="18" customHeight="1" x14ac:dyDescent="0.3">
      <c r="A53" s="38"/>
      <c r="B53" s="40" t="s">
        <v>278</v>
      </c>
      <c r="C53" s="41" t="s">
        <v>279</v>
      </c>
      <c r="D53" s="42">
        <v>1</v>
      </c>
      <c r="E53" s="43" t="s">
        <v>158</v>
      </c>
      <c r="F53" s="49">
        <f>ROUND(Supuestos!$C$54*0.1,0)</f>
        <v>13200000</v>
      </c>
      <c r="G53" s="45">
        <v>0</v>
      </c>
      <c r="H53" s="46">
        <f t="shared" si="4"/>
        <v>13200000</v>
      </c>
      <c r="I53" s="47" t="s">
        <v>280</v>
      </c>
      <c r="J53" s="48"/>
    </row>
    <row r="54" spans="1:10" ht="18" customHeight="1" x14ac:dyDescent="0.3">
      <c r="A54" s="38"/>
      <c r="B54" s="40" t="s">
        <v>281</v>
      </c>
      <c r="C54" s="41" t="s">
        <v>282</v>
      </c>
      <c r="D54" s="42">
        <v>1</v>
      </c>
      <c r="E54" s="43" t="s">
        <v>158</v>
      </c>
      <c r="F54" s="49">
        <f>ROUND(Supuestos!$C$54*0.12,0)</f>
        <v>15840000</v>
      </c>
      <c r="G54" s="45">
        <v>0</v>
      </c>
      <c r="H54" s="46">
        <f t="shared" si="4"/>
        <v>15840000</v>
      </c>
      <c r="I54" s="47" t="s">
        <v>283</v>
      </c>
      <c r="J54" s="48"/>
    </row>
    <row r="55" spans="1:10" ht="18" customHeight="1" x14ac:dyDescent="0.3">
      <c r="A55" s="38"/>
      <c r="B55" s="40" t="s">
        <v>284</v>
      </c>
      <c r="C55" s="41" t="s">
        <v>285</v>
      </c>
      <c r="D55" s="42">
        <v>1</v>
      </c>
      <c r="E55" s="43" t="s">
        <v>158</v>
      </c>
      <c r="F55" s="49">
        <f>ROUND(Supuestos!$C$54*0.08,0)</f>
        <v>10560000</v>
      </c>
      <c r="G55" s="45">
        <v>0</v>
      </c>
      <c r="H55" s="46">
        <f t="shared" si="4"/>
        <v>10560000</v>
      </c>
      <c r="I55" s="47" t="s">
        <v>286</v>
      </c>
      <c r="J55" s="48"/>
    </row>
    <row r="56" spans="1:10" ht="18" customHeight="1" x14ac:dyDescent="0.3">
      <c r="B56" s="40" t="s">
        <v>287</v>
      </c>
      <c r="C56" s="41" t="s">
        <v>288</v>
      </c>
      <c r="D56" s="42">
        <v>1</v>
      </c>
      <c r="E56" s="43" t="s">
        <v>158</v>
      </c>
      <c r="F56" s="49">
        <f>ROUND(Supuestos!$C$54*0.2,0)</f>
        <v>26400000</v>
      </c>
      <c r="G56" s="45">
        <v>0</v>
      </c>
      <c r="H56" s="46">
        <f t="shared" si="4"/>
        <v>26400000</v>
      </c>
      <c r="I56" s="47" t="s">
        <v>289</v>
      </c>
      <c r="J56" s="48"/>
    </row>
    <row r="57" spans="1:10" ht="18" customHeight="1" x14ac:dyDescent="0.3">
      <c r="B57" s="40" t="s">
        <v>290</v>
      </c>
      <c r="C57" s="41" t="s">
        <v>291</v>
      </c>
      <c r="D57" s="42">
        <v>1</v>
      </c>
      <c r="E57" s="43" t="s">
        <v>158</v>
      </c>
      <c r="F57" s="49">
        <f>ROUND(Supuestos!$C$54*0.08,0)</f>
        <v>10560000</v>
      </c>
      <c r="G57" s="45">
        <v>0</v>
      </c>
      <c r="H57" s="46">
        <f t="shared" si="4"/>
        <v>10560000</v>
      </c>
      <c r="I57" s="47" t="s">
        <v>286</v>
      </c>
      <c r="J57" s="48"/>
    </row>
    <row r="58" spans="1:10" ht="18" customHeight="1" x14ac:dyDescent="0.3">
      <c r="B58" s="40" t="s">
        <v>292</v>
      </c>
      <c r="C58" s="41" t="s">
        <v>293</v>
      </c>
      <c r="D58" s="42">
        <v>1</v>
      </c>
      <c r="E58" s="43" t="s">
        <v>158</v>
      </c>
      <c r="F58" s="49">
        <f>ROUND(Supuestos!$C$54*0.06,0)</f>
        <v>7920000</v>
      </c>
      <c r="G58" s="45">
        <v>0</v>
      </c>
      <c r="H58" s="46">
        <f t="shared" si="4"/>
        <v>7920000</v>
      </c>
      <c r="I58" s="47" t="s">
        <v>274</v>
      </c>
      <c r="J58" s="48"/>
    </row>
    <row r="59" spans="1:10" ht="18" customHeight="1" x14ac:dyDescent="0.3">
      <c r="B59" s="40" t="s">
        <v>294</v>
      </c>
      <c r="C59" s="41" t="s">
        <v>295</v>
      </c>
      <c r="D59" s="42">
        <v>1</v>
      </c>
      <c r="E59" s="43" t="s">
        <v>158</v>
      </c>
      <c r="F59" s="49">
        <f>ROUND(Supuestos!$C$54*0.08,0)</f>
        <v>10560000</v>
      </c>
      <c r="G59" s="45">
        <v>0</v>
      </c>
      <c r="H59" s="46">
        <f t="shared" si="4"/>
        <v>10560000</v>
      </c>
      <c r="I59" s="47" t="s">
        <v>286</v>
      </c>
      <c r="J59" s="48"/>
    </row>
    <row r="60" spans="1:10" ht="19.5" customHeight="1" x14ac:dyDescent="0.3">
      <c r="B60" s="134" t="s">
        <v>296</v>
      </c>
      <c r="C60" s="117"/>
      <c r="D60" s="117"/>
      <c r="E60" s="117"/>
      <c r="F60" s="117"/>
      <c r="G60" s="117"/>
      <c r="H60" s="117"/>
      <c r="I60" s="117"/>
      <c r="J60" s="117"/>
    </row>
    <row r="61" spans="1:10" ht="18" customHeight="1" x14ac:dyDescent="0.3">
      <c r="B61" s="40" t="s">
        <v>297</v>
      </c>
      <c r="C61" s="41" t="s">
        <v>298</v>
      </c>
      <c r="D61" s="42">
        <v>1</v>
      </c>
      <c r="E61" s="43" t="s">
        <v>158</v>
      </c>
      <c r="F61" s="44">
        <v>31646000</v>
      </c>
      <c r="G61" s="45">
        <v>0</v>
      </c>
      <c r="H61" s="46">
        <f>D61*(F61+G61)</f>
        <v>31646000</v>
      </c>
      <c r="I61" s="47" t="s">
        <v>299</v>
      </c>
      <c r="J61" s="48" t="s">
        <v>300</v>
      </c>
    </row>
    <row r="62" spans="1:10" ht="18" customHeight="1" x14ac:dyDescent="0.3">
      <c r="B62" s="40" t="s">
        <v>301</v>
      </c>
      <c r="C62" s="41" t="s">
        <v>302</v>
      </c>
      <c r="D62" s="42">
        <v>1</v>
      </c>
      <c r="E62" s="43" t="s">
        <v>158</v>
      </c>
      <c r="F62" s="44">
        <v>17871000</v>
      </c>
      <c r="G62" s="45">
        <v>0</v>
      </c>
      <c r="H62" s="46">
        <f>D62*(F62+G62)</f>
        <v>17871000</v>
      </c>
      <c r="I62" s="47" t="s">
        <v>303</v>
      </c>
      <c r="J62" s="48" t="s">
        <v>304</v>
      </c>
    </row>
    <row r="63" spans="1:10" ht="3" customHeight="1" x14ac:dyDescent="0.3">
      <c r="B63" s="38"/>
      <c r="C63" s="38"/>
      <c r="D63" s="38"/>
      <c r="E63" s="38"/>
      <c r="F63" s="38"/>
      <c r="G63" s="38"/>
      <c r="H63" s="38"/>
      <c r="I63" s="38"/>
      <c r="J63" s="38"/>
    </row>
    <row r="64" spans="1:10" ht="3" customHeight="1" x14ac:dyDescent="0.3">
      <c r="B64" s="38"/>
      <c r="C64" s="38"/>
      <c r="D64" s="38"/>
      <c r="E64" s="38"/>
      <c r="F64" s="38"/>
      <c r="G64" s="38"/>
      <c r="H64" s="38"/>
      <c r="I64" s="38"/>
      <c r="J64" s="38"/>
    </row>
    <row r="65" spans="2:10" ht="21.75" customHeight="1" x14ac:dyDescent="0.3">
      <c r="B65" s="138" t="s">
        <v>305</v>
      </c>
      <c r="C65" s="117"/>
      <c r="D65" s="117"/>
      <c r="E65" s="117"/>
      <c r="F65" s="117"/>
      <c r="G65" s="117"/>
      <c r="H65" s="117"/>
      <c r="I65" s="117"/>
      <c r="J65" s="117"/>
    </row>
    <row r="66" spans="2:10" ht="18" customHeight="1" x14ac:dyDescent="0.3">
      <c r="B66" s="40" t="s">
        <v>306</v>
      </c>
      <c r="C66" s="41" t="s">
        <v>307</v>
      </c>
      <c r="D66" s="42">
        <v>1</v>
      </c>
      <c r="E66" s="43" t="s">
        <v>158</v>
      </c>
      <c r="H66" s="46">
        <f>ROUND(SUM(H4:H6,H9:H13,H15:H19,H21:H32,H34:H45,H47:H48,H50:H59,H61:H62)*0.05,0)</f>
        <v>76196251</v>
      </c>
    </row>
    <row r="67" spans="2:10" ht="14.25" customHeight="1" x14ac:dyDescent="0.3"/>
    <row r="68" spans="2:10" ht="24" customHeight="1" x14ac:dyDescent="0.3">
      <c r="B68" s="140" t="s">
        <v>308</v>
      </c>
      <c r="C68" s="117"/>
      <c r="D68" s="117"/>
      <c r="E68" s="117"/>
      <c r="F68" s="117"/>
      <c r="G68" s="117"/>
      <c r="H68" s="50">
        <f>SUM(H4:H6,H9:H13,H15:H19,H21:H32,H34:H45,H47:H48,H50:H59,H61:H62,H66)</f>
        <v>1600121277</v>
      </c>
    </row>
    <row r="69" spans="2:10" ht="24" customHeight="1" x14ac:dyDescent="0.3">
      <c r="B69" s="140" t="s">
        <v>309</v>
      </c>
      <c r="C69" s="117"/>
      <c r="D69" s="117"/>
      <c r="E69" s="117"/>
      <c r="F69" s="117"/>
      <c r="G69" s="117"/>
      <c r="H69" s="50">
        <f>H68*0.19</f>
        <v>304023042.63</v>
      </c>
    </row>
    <row r="70" spans="2:10" ht="30" customHeight="1" x14ac:dyDescent="0.3">
      <c r="B70" s="139" t="s">
        <v>310</v>
      </c>
      <c r="C70" s="117"/>
      <c r="D70" s="117"/>
      <c r="E70" s="117"/>
      <c r="F70" s="117"/>
      <c r="G70" s="117"/>
      <c r="H70" s="51">
        <f>H68+H69</f>
        <v>1904144319.6300001</v>
      </c>
    </row>
    <row r="71" spans="2:10" ht="14.25" customHeight="1" x14ac:dyDescent="0.3"/>
    <row r="72" spans="2:10" ht="48" customHeight="1" x14ac:dyDescent="0.3">
      <c r="B72" s="129" t="s">
        <v>311</v>
      </c>
      <c r="C72" s="117"/>
      <c r="D72" s="117"/>
      <c r="E72" s="117"/>
      <c r="F72" s="117"/>
      <c r="G72" s="117"/>
      <c r="H72" s="117"/>
      <c r="I72" s="117"/>
      <c r="J72" s="117"/>
    </row>
    <row r="73" spans="2:10" ht="14.25" customHeight="1" x14ac:dyDescent="0.3"/>
    <row r="74" spans="2:10" ht="14.25" customHeight="1" x14ac:dyDescent="0.3"/>
    <row r="75" spans="2:10" ht="14.25" customHeight="1" x14ac:dyDescent="0.3"/>
    <row r="76" spans="2:10" ht="14.25" customHeight="1" x14ac:dyDescent="0.3"/>
    <row r="77" spans="2:10" ht="14.25" customHeight="1" x14ac:dyDescent="0.3"/>
    <row r="78" spans="2:10" ht="14.25" customHeight="1" x14ac:dyDescent="0.3"/>
    <row r="79" spans="2:10" ht="14.25" customHeight="1" x14ac:dyDescent="0.3"/>
    <row r="80" spans="2:1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5">
    <mergeCell ref="B1:J1"/>
    <mergeCell ref="B8:J8"/>
    <mergeCell ref="B49:J49"/>
    <mergeCell ref="B65:J65"/>
    <mergeCell ref="B70:G70"/>
    <mergeCell ref="B68:G68"/>
    <mergeCell ref="B69:G69"/>
    <mergeCell ref="B33:J33"/>
    <mergeCell ref="B7:J7"/>
    <mergeCell ref="B72:J72"/>
    <mergeCell ref="B3:J3"/>
    <mergeCell ref="B20:J20"/>
    <mergeCell ref="B46:J46"/>
    <mergeCell ref="B14:J14"/>
    <mergeCell ref="B60:J60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E1000"/>
  <sheetViews>
    <sheetView showGridLines="0" zoomScaleNormal="100" workbookViewId="0"/>
  </sheetViews>
  <sheetFormatPr baseColWidth="10" defaultColWidth="14.44140625" defaultRowHeight="14.4" x14ac:dyDescent="0.3"/>
  <cols>
    <col min="1" max="1" width="2" customWidth="1"/>
    <col min="2" max="2" width="44" customWidth="1"/>
    <col min="3" max="3" width="18.88671875" customWidth="1"/>
    <col min="4" max="4" width="14" customWidth="1"/>
    <col min="5" max="5" width="28" customWidth="1"/>
    <col min="6" max="26" width="8.6640625" customWidth="1"/>
  </cols>
  <sheetData>
    <row r="1" spans="2:5" ht="24" customHeight="1" x14ac:dyDescent="0.3">
      <c r="B1" s="124" t="s">
        <v>312</v>
      </c>
      <c r="C1" s="120"/>
      <c r="D1" s="120"/>
      <c r="E1" s="120"/>
    </row>
    <row r="2" spans="2:5" ht="14.25" customHeight="1" x14ac:dyDescent="0.3"/>
    <row r="3" spans="2:5" ht="18" customHeight="1" x14ac:dyDescent="0.3">
      <c r="B3" s="122" t="s">
        <v>313</v>
      </c>
      <c r="C3" s="123"/>
      <c r="D3" s="123"/>
      <c r="E3" s="123"/>
    </row>
    <row r="4" spans="2:5" ht="15.75" customHeight="1" x14ac:dyDescent="0.3">
      <c r="B4" s="7" t="s">
        <v>121</v>
      </c>
      <c r="C4" s="7" t="s">
        <v>314</v>
      </c>
      <c r="D4" s="7" t="s">
        <v>315</v>
      </c>
      <c r="E4" s="7" t="s">
        <v>316</v>
      </c>
    </row>
    <row r="5" spans="2:5" ht="21.75" customHeight="1" x14ac:dyDescent="0.3">
      <c r="B5" s="52" t="s">
        <v>317</v>
      </c>
      <c r="C5" s="53">
        <f>ROUND((CAPEX!F4+CAPEX!F5+CAPEX!F6*2+CAPEX!F41+CAPEX!F42)*0.025,0)</f>
        <v>18149869</v>
      </c>
      <c r="D5" s="54" t="s">
        <v>318</v>
      </c>
      <c r="E5" s="55" t="s">
        <v>319</v>
      </c>
    </row>
    <row r="6" spans="2:5" ht="21.75" customHeight="1" x14ac:dyDescent="0.3">
      <c r="B6" s="56" t="s">
        <v>320</v>
      </c>
      <c r="C6" s="57">
        <f>ROUND((Supuestos!C28+Supuestos!C29+Supuestos!C30+Supuestos!C33)*Supuestos!C31*Supuestos!C8*Supuestos!C32,0)</f>
        <v>94170000</v>
      </c>
      <c r="D6" s="58" t="s">
        <v>321</v>
      </c>
      <c r="E6" s="59" t="s">
        <v>322</v>
      </c>
    </row>
    <row r="7" spans="2:5" ht="21.75" customHeight="1" x14ac:dyDescent="0.3">
      <c r="B7" s="52" t="s">
        <v>323</v>
      </c>
      <c r="C7" s="53">
        <v>18000000</v>
      </c>
      <c r="D7" s="54" t="s">
        <v>324</v>
      </c>
      <c r="E7" s="55" t="s">
        <v>325</v>
      </c>
    </row>
    <row r="8" spans="2:5" ht="21.75" customHeight="1" x14ac:dyDescent="0.3">
      <c r="B8" s="56" t="s">
        <v>326</v>
      </c>
      <c r="C8" s="60">
        <v>10000000</v>
      </c>
      <c r="D8" s="58" t="s">
        <v>327</v>
      </c>
      <c r="E8" s="59" t="s">
        <v>328</v>
      </c>
    </row>
    <row r="9" spans="2:5" ht="21.75" customHeight="1" x14ac:dyDescent="0.3">
      <c r="B9" s="52" t="s">
        <v>329</v>
      </c>
      <c r="C9" s="53">
        <v>18000000</v>
      </c>
      <c r="D9" s="54" t="s">
        <v>330</v>
      </c>
      <c r="E9" s="55" t="s">
        <v>331</v>
      </c>
    </row>
    <row r="10" spans="2:5" ht="21.75" customHeight="1" x14ac:dyDescent="0.3">
      <c r="B10" s="56" t="s">
        <v>332</v>
      </c>
      <c r="C10" s="60">
        <f>ROUND(CAPEX!H68*0.008,0)</f>
        <v>12800970</v>
      </c>
      <c r="D10" s="58" t="s">
        <v>333</v>
      </c>
      <c r="E10" s="59" t="s">
        <v>334</v>
      </c>
    </row>
    <row r="11" spans="2:5" ht="19.5" customHeight="1" x14ac:dyDescent="0.3">
      <c r="B11" s="61" t="s">
        <v>335</v>
      </c>
      <c r="C11" s="62">
        <f>C5+C6+C7+C8+C9+C10</f>
        <v>171120839</v>
      </c>
      <c r="D11" s="63"/>
      <c r="E11" s="63"/>
    </row>
    <row r="12" spans="2:5" ht="14.25" customHeight="1" x14ac:dyDescent="0.3"/>
    <row r="13" spans="2:5" ht="14.25" customHeight="1" x14ac:dyDescent="0.3"/>
    <row r="14" spans="2:5" ht="18" customHeight="1" x14ac:dyDescent="0.3">
      <c r="B14" s="141" t="s">
        <v>336</v>
      </c>
      <c r="C14" s="142"/>
      <c r="D14" s="142"/>
      <c r="E14" s="142"/>
    </row>
    <row r="15" spans="2:5" ht="15.75" customHeight="1" x14ac:dyDescent="0.3">
      <c r="B15" s="7" t="s">
        <v>121</v>
      </c>
      <c r="C15" s="7" t="s">
        <v>337</v>
      </c>
      <c r="D15" s="7" t="s">
        <v>315</v>
      </c>
      <c r="E15" s="7" t="s">
        <v>338</v>
      </c>
    </row>
    <row r="16" spans="2:5" ht="21.75" customHeight="1" x14ac:dyDescent="0.3">
      <c r="B16" s="56" t="s">
        <v>339</v>
      </c>
      <c r="C16" s="57">
        <f>Supuestos!C49*Supuestos!C21*12</f>
        <v>542920622.4000001</v>
      </c>
      <c r="D16" s="58" t="s">
        <v>321</v>
      </c>
      <c r="E16" s="59" t="s">
        <v>340</v>
      </c>
    </row>
    <row r="17" spans="2:5" ht="21.75" customHeight="1" x14ac:dyDescent="0.3">
      <c r="B17" s="52" t="s">
        <v>341</v>
      </c>
      <c r="C17" s="53">
        <v>15000000</v>
      </c>
      <c r="D17" s="54" t="s">
        <v>342</v>
      </c>
      <c r="E17" s="55" t="s">
        <v>343</v>
      </c>
    </row>
    <row r="18" spans="2:5" ht="21.75" customHeight="1" x14ac:dyDescent="0.3">
      <c r="B18" s="56" t="s">
        <v>344</v>
      </c>
      <c r="C18" s="60">
        <v>20000000</v>
      </c>
      <c r="D18" s="58" t="s">
        <v>345</v>
      </c>
      <c r="E18" s="59" t="s">
        <v>346</v>
      </c>
    </row>
    <row r="19" spans="2:5" ht="21.75" customHeight="1" x14ac:dyDescent="0.3">
      <c r="B19" s="56" t="s">
        <v>347</v>
      </c>
      <c r="C19" s="60">
        <v>12000000</v>
      </c>
      <c r="D19" s="58" t="s">
        <v>348</v>
      </c>
      <c r="E19" s="59" t="s">
        <v>349</v>
      </c>
    </row>
    <row r="20" spans="2:5" ht="21.75" customHeight="1" x14ac:dyDescent="0.3">
      <c r="B20" s="52" t="s">
        <v>350</v>
      </c>
      <c r="C20" s="53">
        <v>10000000</v>
      </c>
      <c r="D20" s="54" t="s">
        <v>351</v>
      </c>
      <c r="E20" s="55" t="s">
        <v>352</v>
      </c>
    </row>
    <row r="21" spans="2:5" ht="21.75" customHeight="1" x14ac:dyDescent="0.3">
      <c r="B21" s="56" t="s">
        <v>353</v>
      </c>
      <c r="C21" s="60">
        <v>7000000</v>
      </c>
      <c r="D21" s="58" t="s">
        <v>354</v>
      </c>
      <c r="E21" s="59" t="s">
        <v>355</v>
      </c>
    </row>
    <row r="22" spans="2:5" ht="21.75" customHeight="1" x14ac:dyDescent="0.3">
      <c r="B22" s="64" t="s">
        <v>356</v>
      </c>
      <c r="C22" s="65">
        <f>C16+C17+C18+C19+C20+C21</f>
        <v>606920622.4000001</v>
      </c>
      <c r="D22" s="66"/>
      <c r="E22" s="66"/>
    </row>
    <row r="23" spans="2:5" ht="19.5" customHeight="1" x14ac:dyDescent="0.3">
      <c r="B23" s="67" t="s">
        <v>357</v>
      </c>
      <c r="C23" s="68">
        <f>C22-C11</f>
        <v>435799783.4000001</v>
      </c>
      <c r="D23" s="69"/>
      <c r="E23" s="69"/>
    </row>
    <row r="24" spans="2:5" ht="21.75" customHeight="1" x14ac:dyDescent="0.3">
      <c r="C24" s="70">
        <f>C23-C11</f>
        <v>264678944.4000001</v>
      </c>
    </row>
    <row r="25" spans="2:5" ht="14.25" customHeight="1" x14ac:dyDescent="0.3"/>
    <row r="26" spans="2:5" ht="14.25" customHeight="1" x14ac:dyDescent="0.3"/>
    <row r="27" spans="2:5" ht="14.25" customHeight="1" x14ac:dyDescent="0.3"/>
    <row r="28" spans="2:5" ht="14.25" customHeight="1" x14ac:dyDescent="0.3"/>
    <row r="29" spans="2:5" ht="14.25" customHeight="1" x14ac:dyDescent="0.3"/>
    <row r="30" spans="2:5" ht="14.25" customHeight="1" x14ac:dyDescent="0.3"/>
    <row r="31" spans="2:5" ht="14.25" customHeight="1" x14ac:dyDescent="0.3"/>
    <row r="32" spans="2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E1"/>
    <mergeCell ref="B3:E3"/>
    <mergeCell ref="B14:E14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1000"/>
  <sheetViews>
    <sheetView showGridLines="0" zoomScaleNormal="100" workbookViewId="0"/>
  </sheetViews>
  <sheetFormatPr baseColWidth="10" defaultColWidth="14.44140625" defaultRowHeight="14.4" x14ac:dyDescent="0.3"/>
  <cols>
    <col min="1" max="1" width="2" customWidth="1"/>
    <col min="2" max="2" width="40" customWidth="1"/>
    <col min="3" max="5" width="18.6640625" customWidth="1"/>
    <col min="6" max="7" width="17.109375" customWidth="1"/>
    <col min="8" max="13" width="16" customWidth="1"/>
    <col min="14" max="26" width="8.6640625" customWidth="1"/>
  </cols>
  <sheetData>
    <row r="1" spans="2:13" ht="24" customHeight="1" x14ac:dyDescent="0.3">
      <c r="B1" s="124" t="s">
        <v>358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</row>
    <row r="2" spans="2:13" ht="18" customHeight="1" x14ac:dyDescent="0.3">
      <c r="B2" s="7" t="s">
        <v>121</v>
      </c>
      <c r="C2" s="71" t="s">
        <v>359</v>
      </c>
      <c r="D2" s="72" t="s">
        <v>360</v>
      </c>
      <c r="E2" s="72" t="s">
        <v>361</v>
      </c>
      <c r="F2" s="72" t="s">
        <v>362</v>
      </c>
      <c r="G2" s="72" t="s">
        <v>363</v>
      </c>
      <c r="H2" s="72" t="s">
        <v>364</v>
      </c>
      <c r="I2" s="72" t="s">
        <v>365</v>
      </c>
      <c r="J2" s="72" t="s">
        <v>366</v>
      </c>
      <c r="K2" s="72" t="s">
        <v>367</v>
      </c>
      <c r="L2" s="72" t="s">
        <v>368</v>
      </c>
      <c r="M2" s="72" t="s">
        <v>369</v>
      </c>
    </row>
    <row r="3" spans="2:13" ht="15.75" customHeight="1" x14ac:dyDescent="0.3">
      <c r="B3" s="143" t="s">
        <v>370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</row>
    <row r="4" spans="2:13" ht="18" customHeight="1" x14ac:dyDescent="0.3">
      <c r="B4" s="73" t="s">
        <v>371</v>
      </c>
      <c r="C4" s="74">
        <f>-CAPEX!H70</f>
        <v>-1904144319.6300001</v>
      </c>
      <c r="D4" s="75">
        <f>0</f>
        <v>0</v>
      </c>
      <c r="E4" s="75">
        <f>0</f>
        <v>0</v>
      </c>
      <c r="F4" s="75">
        <f>0</f>
        <v>0</v>
      </c>
      <c r="G4" s="75">
        <f>0</f>
        <v>0</v>
      </c>
      <c r="H4" s="75">
        <f>0</f>
        <v>0</v>
      </c>
      <c r="I4" s="75">
        <f>0</f>
        <v>0</v>
      </c>
      <c r="J4" s="75">
        <f>0</f>
        <v>0</v>
      </c>
      <c r="K4" s="75">
        <f>0</f>
        <v>0</v>
      </c>
      <c r="L4" s="75">
        <f>0</f>
        <v>0</v>
      </c>
      <c r="M4" s="75">
        <f>0</f>
        <v>0</v>
      </c>
    </row>
    <row r="5" spans="2:13" ht="15.75" customHeight="1" x14ac:dyDescent="0.3">
      <c r="B5" s="143" t="s">
        <v>372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</row>
    <row r="6" spans="2:13" ht="18" customHeight="1" x14ac:dyDescent="0.3">
      <c r="B6" s="56" t="s">
        <v>373</v>
      </c>
      <c r="C6" s="57">
        <f>0</f>
        <v>0</v>
      </c>
      <c r="D6" s="57">
        <f>OPEX_Beneficios!C5*((1+Supuestos!$C$14)^1)</f>
        <v>19057362.449999999</v>
      </c>
      <c r="E6" s="57">
        <f>OPEX_Beneficios!C5*((1+Supuestos!$C$14)^2)</f>
        <v>20010230.572500002</v>
      </c>
      <c r="F6" s="57">
        <f>OPEX_Beneficios!C5*((1+Supuestos!$C$14)^3)</f>
        <v>21010742.101125002</v>
      </c>
      <c r="G6" s="57">
        <f>OPEX_Beneficios!C5*((1+Supuestos!$C$14)^4)</f>
        <v>22061279.206181251</v>
      </c>
      <c r="H6" s="57">
        <f>OPEX_Beneficios!C5*((1+Supuestos!$C$14)^5)</f>
        <v>23164343.166490316</v>
      </c>
      <c r="I6" s="57">
        <f>OPEX_Beneficios!C5*((1+Supuestos!$C$14)^6)</f>
        <v>24322560.324814826</v>
      </c>
      <c r="J6" s="57">
        <f>OPEX_Beneficios!C5*((1+Supuestos!$C$14)^7)</f>
        <v>25538688.341055572</v>
      </c>
      <c r="K6" s="57">
        <f>OPEX_Beneficios!C5*((1+Supuestos!$C$14)^8)</f>
        <v>26815622.758108348</v>
      </c>
      <c r="L6" s="57">
        <f>OPEX_Beneficios!C5*((1+Supuestos!$C$14)^9)</f>
        <v>28156403.896013767</v>
      </c>
      <c r="M6" s="57">
        <f>OPEX_Beneficios!C5*((1+Supuestos!$C$14)^10)</f>
        <v>29564224.090814456</v>
      </c>
    </row>
    <row r="7" spans="2:13" ht="18" customHeight="1" x14ac:dyDescent="0.3">
      <c r="B7" s="52" t="s">
        <v>374</v>
      </c>
      <c r="C7" s="76">
        <f>0</f>
        <v>0</v>
      </c>
      <c r="D7" s="76">
        <f>OPEX_Beneficios!C6*((1+Supuestos!$C$14)^1)</f>
        <v>98878500</v>
      </c>
      <c r="E7" s="76">
        <f>OPEX_Beneficios!C6*((1+Supuestos!$C$14)^2)</f>
        <v>103822425</v>
      </c>
      <c r="F7" s="76">
        <f>OPEX_Beneficios!C6*((1+Supuestos!$C$14)^3)</f>
        <v>109013546.25000001</v>
      </c>
      <c r="G7" s="76">
        <f>OPEX_Beneficios!C6*((1+Supuestos!$C$14)^4)</f>
        <v>114464223.5625</v>
      </c>
      <c r="H7" s="76">
        <f>OPEX_Beneficios!C6*((1+Supuestos!$C$14)^5)</f>
        <v>120187434.74062501</v>
      </c>
      <c r="I7" s="76">
        <f>OPEX_Beneficios!C6*((1+Supuestos!$C$14)^6)</f>
        <v>126196806.47765625</v>
      </c>
      <c r="J7" s="76">
        <f>OPEX_Beneficios!C6*((1+Supuestos!$C$14)^7)</f>
        <v>132506646.80153908</v>
      </c>
      <c r="K7" s="76">
        <f>OPEX_Beneficios!C6*((1+Supuestos!$C$14)^8)</f>
        <v>139131979.14161602</v>
      </c>
      <c r="L7" s="76">
        <f>OPEX_Beneficios!C6*((1+Supuestos!$C$14)^9)</f>
        <v>146088578.09869683</v>
      </c>
      <c r="M7" s="76">
        <f>OPEX_Beneficios!C6*((1+Supuestos!$C$14)^10)</f>
        <v>153393007.00363168</v>
      </c>
    </row>
    <row r="8" spans="2:13" ht="18" customHeight="1" x14ac:dyDescent="0.3">
      <c r="B8" s="56" t="s">
        <v>375</v>
      </c>
      <c r="C8" s="57">
        <f>0</f>
        <v>0</v>
      </c>
      <c r="D8" s="57">
        <f>OPEX_Beneficios!C7*((1+Supuestos!$C$14)^1)</f>
        <v>18900000</v>
      </c>
      <c r="E8" s="57">
        <f>OPEX_Beneficios!C7*((1+Supuestos!$C$14)^2)</f>
        <v>19845000</v>
      </c>
      <c r="F8" s="57">
        <f>OPEX_Beneficios!C7*((1+Supuestos!$C$14)^3)</f>
        <v>20837250.000000004</v>
      </c>
      <c r="G8" s="57">
        <f>OPEX_Beneficios!C7*((1+Supuestos!$C$14)^4)</f>
        <v>21879112.5</v>
      </c>
      <c r="H8" s="57">
        <f>OPEX_Beneficios!C7*((1+Supuestos!$C$14)^5)</f>
        <v>22973068.125000004</v>
      </c>
      <c r="I8" s="57">
        <f>OPEX_Beneficios!C7*((1+Supuestos!$C$14)^6)</f>
        <v>24121721.53125</v>
      </c>
      <c r="J8" s="57">
        <f>OPEX_Beneficios!C7*((1+Supuestos!$C$14)^7)</f>
        <v>25327807.607812505</v>
      </c>
      <c r="K8" s="57">
        <f>OPEX_Beneficios!C7*((1+Supuestos!$C$14)^8)</f>
        <v>26594197.988203127</v>
      </c>
      <c r="L8" s="57">
        <f>OPEX_Beneficios!C7*((1+Supuestos!$C$14)^9)</f>
        <v>27923907.887613285</v>
      </c>
      <c r="M8" s="57">
        <f>OPEX_Beneficios!C7*((1+Supuestos!$C$14)^10)</f>
        <v>29320103.281993948</v>
      </c>
    </row>
    <row r="9" spans="2:13" ht="18" customHeight="1" x14ac:dyDescent="0.3">
      <c r="B9" s="52" t="s">
        <v>376</v>
      </c>
      <c r="C9" s="76">
        <f>0</f>
        <v>0</v>
      </c>
      <c r="D9" s="76">
        <f>OPEX_Beneficios!C8*((1+Supuestos!$C$14)^1)</f>
        <v>10500000</v>
      </c>
      <c r="E9" s="76">
        <f>OPEX_Beneficios!C8*((1+Supuestos!$C$14)^2)</f>
        <v>11025000</v>
      </c>
      <c r="F9" s="76">
        <f>OPEX_Beneficios!C8*((1+Supuestos!$C$14)^3)</f>
        <v>11576250.000000002</v>
      </c>
      <c r="G9" s="76">
        <f>OPEX_Beneficios!C8*((1+Supuestos!$C$14)^4)</f>
        <v>12155062.5</v>
      </c>
      <c r="H9" s="76">
        <f>OPEX_Beneficios!C8*((1+Supuestos!$C$14)^5)</f>
        <v>12762815.625000002</v>
      </c>
      <c r="I9" s="76">
        <f>OPEX_Beneficios!C8*((1+Supuestos!$C$14)^6)</f>
        <v>13400956.40625</v>
      </c>
      <c r="J9" s="76">
        <f>OPEX_Beneficios!C8*((1+Supuestos!$C$14)^7)</f>
        <v>14071004.226562502</v>
      </c>
      <c r="K9" s="76">
        <f>OPEX_Beneficios!C8*((1+Supuestos!$C$14)^8)</f>
        <v>14774554.437890626</v>
      </c>
      <c r="L9" s="76">
        <f>OPEX_Beneficios!C8*((1+Supuestos!$C$14)^9)</f>
        <v>15513282.159785157</v>
      </c>
      <c r="M9" s="76">
        <f>OPEX_Beneficios!C8*((1+Supuestos!$C$14)^10)</f>
        <v>16288946.267774416</v>
      </c>
    </row>
    <row r="10" spans="2:13" ht="18" customHeight="1" x14ac:dyDescent="0.3">
      <c r="B10" s="56" t="s">
        <v>377</v>
      </c>
      <c r="C10" s="57">
        <f>0</f>
        <v>0</v>
      </c>
      <c r="D10" s="57">
        <f>OPEX_Beneficios!C9*((1+Supuestos!$C$14)^1)</f>
        <v>18900000</v>
      </c>
      <c r="E10" s="57">
        <f>OPEX_Beneficios!C9*((1+Supuestos!$C$14)^2)</f>
        <v>19845000</v>
      </c>
      <c r="F10" s="57">
        <f>OPEX_Beneficios!C9*((1+Supuestos!$C$14)^3)</f>
        <v>20837250.000000004</v>
      </c>
      <c r="G10" s="57">
        <f>OPEX_Beneficios!C9*((1+Supuestos!$C$14)^4)</f>
        <v>21879112.5</v>
      </c>
      <c r="H10" s="57">
        <f>OPEX_Beneficios!C9*((1+Supuestos!$C$14)^5)</f>
        <v>22973068.125000004</v>
      </c>
      <c r="I10" s="57">
        <f>OPEX_Beneficios!C9*((1+Supuestos!$C$14)^6)</f>
        <v>24121721.53125</v>
      </c>
      <c r="J10" s="57">
        <f>OPEX_Beneficios!C9*((1+Supuestos!$C$14)^7)</f>
        <v>25327807.607812505</v>
      </c>
      <c r="K10" s="57">
        <f>OPEX_Beneficios!C9*((1+Supuestos!$C$14)^8)</f>
        <v>26594197.988203127</v>
      </c>
      <c r="L10" s="57">
        <f>OPEX_Beneficios!C9*((1+Supuestos!$C$14)^9)</f>
        <v>27923907.887613285</v>
      </c>
      <c r="M10" s="57">
        <f>OPEX_Beneficios!C9*((1+Supuestos!$C$14)^10)</f>
        <v>29320103.281993948</v>
      </c>
    </row>
    <row r="11" spans="2:13" ht="18" customHeight="1" x14ac:dyDescent="0.3">
      <c r="B11" s="52" t="s">
        <v>378</v>
      </c>
      <c r="C11" s="76">
        <f>0</f>
        <v>0</v>
      </c>
      <c r="D11" s="76">
        <f>OPEX_Beneficios!C10*((1+Supuestos!$C$14)^1)</f>
        <v>13441018.5</v>
      </c>
      <c r="E11" s="76">
        <f>OPEX_Beneficios!C10*((1+Supuestos!$C$14)^2)</f>
        <v>14113069.425000001</v>
      </c>
      <c r="F11" s="76">
        <f>OPEX_Beneficios!C10*((1+Supuestos!$C$14)^3)</f>
        <v>14818722.896250002</v>
      </c>
      <c r="G11" s="76">
        <f>OPEX_Beneficios!C10*((1+Supuestos!$C$14)^4)</f>
        <v>15559659.0410625</v>
      </c>
      <c r="H11" s="76">
        <f>OPEX_Beneficios!C10*((1+Supuestos!$C$14)^5)</f>
        <v>16337641.993115626</v>
      </c>
      <c r="I11" s="76">
        <f>OPEX_Beneficios!C10*((1+Supuestos!$C$14)^6)</f>
        <v>17154524.092771407</v>
      </c>
      <c r="J11" s="76">
        <f>OPEX_Beneficios!C10*((1+Supuestos!$C$14)^7)</f>
        <v>18012250.297409978</v>
      </c>
      <c r="K11" s="76">
        <f>OPEX_Beneficios!C10*((1+Supuestos!$C$14)^8)</f>
        <v>18912862.812280476</v>
      </c>
      <c r="L11" s="76">
        <f>OPEX_Beneficios!C10*((1+Supuestos!$C$14)^9)</f>
        <v>19858505.952894501</v>
      </c>
      <c r="M11" s="76">
        <f>OPEX_Beneficios!C10*((1+Supuestos!$C$14)^10)</f>
        <v>20851431.250539225</v>
      </c>
    </row>
    <row r="12" spans="2:13" ht="18" customHeight="1" x14ac:dyDescent="0.3">
      <c r="B12" s="77" t="s">
        <v>379</v>
      </c>
      <c r="C12" s="78">
        <f t="shared" ref="C12:M12" si="0">SUM(C6:C11)</f>
        <v>0</v>
      </c>
      <c r="D12" s="78">
        <f t="shared" si="0"/>
        <v>179676880.94999999</v>
      </c>
      <c r="E12" s="78">
        <f t="shared" si="0"/>
        <v>188660724.9975</v>
      </c>
      <c r="F12" s="78">
        <f t="shared" si="0"/>
        <v>198093761.24737504</v>
      </c>
      <c r="G12" s="78">
        <f t="shared" si="0"/>
        <v>207998449.30974376</v>
      </c>
      <c r="H12" s="78">
        <f t="shared" si="0"/>
        <v>218398371.77523097</v>
      </c>
      <c r="I12" s="78">
        <f t="shared" si="0"/>
        <v>229318290.36399248</v>
      </c>
      <c r="J12" s="78">
        <f t="shared" si="0"/>
        <v>240784204.88219211</v>
      </c>
      <c r="K12" s="78">
        <f t="shared" si="0"/>
        <v>252823415.12630174</v>
      </c>
      <c r="L12" s="78">
        <f t="shared" si="0"/>
        <v>265464585.88261685</v>
      </c>
      <c r="M12" s="78">
        <f t="shared" si="0"/>
        <v>278737815.17674768</v>
      </c>
    </row>
    <row r="13" spans="2:13" ht="15.75" customHeight="1" x14ac:dyDescent="0.3">
      <c r="B13" s="145" t="s">
        <v>380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</row>
    <row r="14" spans="2:13" ht="18" customHeight="1" x14ac:dyDescent="0.3">
      <c r="B14" s="56" t="s">
        <v>381</v>
      </c>
      <c r="C14" s="57">
        <f>0</f>
        <v>0</v>
      </c>
      <c r="D14" s="57">
        <f>OPEX_Beneficios!C16*((1+Supuestos!$C$14)^1)</f>
        <v>570066653.5200001</v>
      </c>
      <c r="E14" s="57">
        <f>OPEX_Beneficios!C16*((1+Supuestos!$C$14)^2)</f>
        <v>598569986.1960001</v>
      </c>
      <c r="F14" s="57">
        <f>OPEX_Beneficios!C16*((1+Supuestos!$C$14)^3)</f>
        <v>628498485.50580013</v>
      </c>
      <c r="G14" s="57">
        <f>OPEX_Beneficios!C16*((1+Supuestos!$C$14)^4)</f>
        <v>659923409.78109014</v>
      </c>
      <c r="H14" s="57">
        <f>OPEX_Beneficios!C16*((1+Supuestos!$C$14)^5)</f>
        <v>692919580.2701447</v>
      </c>
      <c r="I14" s="57">
        <f>OPEX_Beneficios!C16*((1+Supuestos!$C$14)^6)</f>
        <v>727565559.28365183</v>
      </c>
      <c r="J14" s="57">
        <f>OPEX_Beneficios!C16*((1+Supuestos!$C$14)^7)</f>
        <v>763943837.24783456</v>
      </c>
      <c r="K14" s="57">
        <f>OPEX_Beneficios!C16*((1+Supuestos!$C$14)^8)</f>
        <v>802141029.11022615</v>
      </c>
      <c r="L14" s="57">
        <f>OPEX_Beneficios!C16*((1+Supuestos!$C$14)^9)</f>
        <v>842248080.56573761</v>
      </c>
      <c r="M14" s="57">
        <f>OPEX_Beneficios!C16*((1+Supuestos!$C$14)^10)</f>
        <v>884360484.59402442</v>
      </c>
    </row>
    <row r="15" spans="2:13" ht="18" customHeight="1" x14ac:dyDescent="0.3">
      <c r="B15" s="52" t="s">
        <v>382</v>
      </c>
      <c r="C15" s="76">
        <f>0</f>
        <v>0</v>
      </c>
      <c r="D15" s="76">
        <f>OPEX_Beneficios!C17*((1+Supuestos!$C$15)^1)</f>
        <v>15450000</v>
      </c>
      <c r="E15" s="76">
        <f>OPEX_Beneficios!C17*((1+Supuestos!$C$15)^2)</f>
        <v>15913500</v>
      </c>
      <c r="F15" s="76">
        <f>OPEX_Beneficios!C17*((1+Supuestos!$C$15)^3)</f>
        <v>16390905</v>
      </c>
      <c r="G15" s="76">
        <f>OPEX_Beneficios!C17*((1+Supuestos!$C$15)^4)</f>
        <v>16882632.149999999</v>
      </c>
      <c r="H15" s="76">
        <f>OPEX_Beneficios!C17*((1+Supuestos!$C$15)^5)</f>
        <v>17389111.114499997</v>
      </c>
      <c r="I15" s="76">
        <f>OPEX_Beneficios!C17*((1+Supuestos!$C$15)^6)</f>
        <v>17910784.447935</v>
      </c>
      <c r="J15" s="76">
        <f>OPEX_Beneficios!C17*((1+Supuestos!$C$15)^7)</f>
        <v>18448107.981373049</v>
      </c>
      <c r="K15" s="76">
        <f>OPEX_Beneficios!C17*((1+Supuestos!$C$15)^8)</f>
        <v>19001551.220814239</v>
      </c>
      <c r="L15" s="76">
        <f>OPEX_Beneficios!C17*((1+Supuestos!$C$15)^9)</f>
        <v>19571597.757438667</v>
      </c>
      <c r="M15" s="76">
        <f>OPEX_Beneficios!C17*((1+Supuestos!$C$15)^10)</f>
        <v>20158745.690161828</v>
      </c>
    </row>
    <row r="16" spans="2:13" ht="18" customHeight="1" x14ac:dyDescent="0.3">
      <c r="B16" s="56" t="s">
        <v>383</v>
      </c>
      <c r="C16" s="57">
        <f>0</f>
        <v>0</v>
      </c>
      <c r="D16" s="57">
        <f>OPEX_Beneficios!C18*((1+Supuestos!$C$15)^1)</f>
        <v>20600000</v>
      </c>
      <c r="E16" s="57">
        <f>OPEX_Beneficios!C18*((1+Supuestos!$C$15)^2)</f>
        <v>21218000</v>
      </c>
      <c r="F16" s="57">
        <f>OPEX_Beneficios!C18*((1+Supuestos!$C$15)^3)</f>
        <v>21854540</v>
      </c>
      <c r="G16" s="57">
        <f>OPEX_Beneficios!C18*((1+Supuestos!$C$15)^4)</f>
        <v>22510176.199999999</v>
      </c>
      <c r="H16" s="57">
        <f>OPEX_Beneficios!C18*((1+Supuestos!$C$15)^5)</f>
        <v>23185481.485999998</v>
      </c>
      <c r="I16" s="57">
        <f>OPEX_Beneficios!C18*((1+Supuestos!$C$15)^6)</f>
        <v>23881045.930579998</v>
      </c>
      <c r="J16" s="57">
        <f>OPEX_Beneficios!C18*((1+Supuestos!$C$15)^7)</f>
        <v>24597477.308497399</v>
      </c>
      <c r="K16" s="57">
        <f>OPEX_Beneficios!C18*((1+Supuestos!$C$15)^8)</f>
        <v>25335401.627752319</v>
      </c>
      <c r="L16" s="57">
        <f>OPEX_Beneficios!C18*((1+Supuestos!$C$15)^9)</f>
        <v>26095463.676584888</v>
      </c>
      <c r="M16" s="57">
        <f>OPEX_Beneficios!C18*((1+Supuestos!$C$15)^10)</f>
        <v>26878327.586882435</v>
      </c>
    </row>
    <row r="17" spans="2:13" ht="18" customHeight="1" x14ac:dyDescent="0.3">
      <c r="B17" s="56" t="s">
        <v>384</v>
      </c>
      <c r="C17" s="57">
        <f>0</f>
        <v>0</v>
      </c>
      <c r="D17" s="57">
        <f>OPEX_Beneficios!C19*((1+Supuestos!$C$14)^1)</f>
        <v>12600000</v>
      </c>
      <c r="E17" s="57">
        <f>OPEX_Beneficios!C19*((1+Supuestos!$C$14)^2)</f>
        <v>13230000</v>
      </c>
      <c r="F17" s="57">
        <f>OPEX_Beneficios!C19*((1+Supuestos!$C$14)^3)</f>
        <v>13891500.000000002</v>
      </c>
      <c r="G17" s="57">
        <f>OPEX_Beneficios!C19*((1+Supuestos!$C$14)^4)</f>
        <v>14586075</v>
      </c>
      <c r="H17" s="57">
        <f>OPEX_Beneficios!C19*((1+Supuestos!$C$14)^5)</f>
        <v>15315378.750000002</v>
      </c>
      <c r="I17" s="57">
        <f>OPEX_Beneficios!C19*((1+Supuestos!$C$14)^6)</f>
        <v>16081147.6875</v>
      </c>
      <c r="J17" s="57">
        <f>OPEX_Beneficios!C19*((1+Supuestos!$C$14)^7)</f>
        <v>16885205.071875002</v>
      </c>
      <c r="K17" s="57">
        <f>OPEX_Beneficios!C19*((1+Supuestos!$C$14)^8)</f>
        <v>17729465.325468753</v>
      </c>
      <c r="L17" s="57">
        <f>OPEX_Beneficios!C19*((1+Supuestos!$C$14)^9)</f>
        <v>18615938.591742188</v>
      </c>
      <c r="M17" s="57">
        <f>OPEX_Beneficios!C19*((1+Supuestos!$C$14)^10)</f>
        <v>19546735.521329299</v>
      </c>
    </row>
    <row r="18" spans="2:13" ht="18" customHeight="1" x14ac:dyDescent="0.3">
      <c r="B18" s="52" t="s">
        <v>385</v>
      </c>
      <c r="C18" s="76">
        <f>0</f>
        <v>0</v>
      </c>
      <c r="D18" s="76">
        <f>OPEX_Beneficios!C20*((1+Supuestos!$C$15)^1)</f>
        <v>10300000</v>
      </c>
      <c r="E18" s="76">
        <f>OPEX_Beneficios!C20*((1+Supuestos!$C$15)^2)</f>
        <v>10609000</v>
      </c>
      <c r="F18" s="76">
        <f>OPEX_Beneficios!C20*((1+Supuestos!$C$15)^3)</f>
        <v>10927270</v>
      </c>
      <c r="G18" s="76">
        <f>OPEX_Beneficios!C20*((1+Supuestos!$C$15)^4)</f>
        <v>11255088.1</v>
      </c>
      <c r="H18" s="76">
        <f>OPEX_Beneficios!C20*((1+Supuestos!$C$15)^5)</f>
        <v>11592740.742999999</v>
      </c>
      <c r="I18" s="76">
        <f>OPEX_Beneficios!C20*((1+Supuestos!$C$15)^6)</f>
        <v>11940522.965289999</v>
      </c>
      <c r="J18" s="76">
        <f>OPEX_Beneficios!C20*((1+Supuestos!$C$15)^7)</f>
        <v>12298738.6542487</v>
      </c>
      <c r="K18" s="76">
        <f>OPEX_Beneficios!C20*((1+Supuestos!$C$15)^8)</f>
        <v>12667700.813876159</v>
      </c>
      <c r="L18" s="76">
        <f>OPEX_Beneficios!C20*((1+Supuestos!$C$15)^9)</f>
        <v>13047731.838292444</v>
      </c>
      <c r="M18" s="76">
        <f>OPEX_Beneficios!C20*((1+Supuestos!$C$15)^10)</f>
        <v>13439163.793441217</v>
      </c>
    </row>
    <row r="19" spans="2:13" ht="18" customHeight="1" x14ac:dyDescent="0.3">
      <c r="B19" s="56" t="s">
        <v>386</v>
      </c>
      <c r="C19" s="57">
        <f>0</f>
        <v>0</v>
      </c>
      <c r="D19" s="57">
        <f>OPEX_Beneficios!C21*((1+Supuestos!$C$14)^1)</f>
        <v>7350000</v>
      </c>
      <c r="E19" s="57">
        <f>OPEX_Beneficios!C21*((1+Supuestos!$C$14)^2)</f>
        <v>7717500</v>
      </c>
      <c r="F19" s="57">
        <f>OPEX_Beneficios!C21*((1+Supuestos!$C$14)^3)</f>
        <v>8103375.0000000009</v>
      </c>
      <c r="G19" s="57">
        <f>OPEX_Beneficios!C21*((1+Supuestos!$C$14)^4)</f>
        <v>8508543.75</v>
      </c>
      <c r="H19" s="57">
        <f>OPEX_Beneficios!C21*((1+Supuestos!$C$14)^5)</f>
        <v>8933970.9375</v>
      </c>
      <c r="I19" s="57">
        <f>OPEX_Beneficios!C21*((1+Supuestos!$C$14)^6)</f>
        <v>9380669.484375</v>
      </c>
      <c r="J19" s="57">
        <f>OPEX_Beneficios!C21*((1+Supuestos!$C$14)^7)</f>
        <v>9849702.9585937522</v>
      </c>
      <c r="K19" s="57">
        <f>OPEX_Beneficios!C21*((1+Supuestos!$C$14)^8)</f>
        <v>10342188.106523437</v>
      </c>
      <c r="L19" s="57">
        <f>OPEX_Beneficios!C21*((1+Supuestos!$C$14)^9)</f>
        <v>10859297.51184961</v>
      </c>
      <c r="M19" s="57">
        <f>OPEX_Beneficios!C21*((1+Supuestos!$C$14)^10)</f>
        <v>11402262.387442091</v>
      </c>
    </row>
    <row r="20" spans="2:13" ht="18" customHeight="1" x14ac:dyDescent="0.3">
      <c r="B20" s="79" t="s">
        <v>387</v>
      </c>
      <c r="C20" s="80">
        <f t="shared" ref="C20:M20" si="1">SUM(C14:C19)</f>
        <v>0</v>
      </c>
      <c r="D20" s="80">
        <f t="shared" si="1"/>
        <v>636366653.5200001</v>
      </c>
      <c r="E20" s="80">
        <f t="shared" si="1"/>
        <v>667257986.1960001</v>
      </c>
      <c r="F20" s="80">
        <f t="shared" si="1"/>
        <v>699666075.50580013</v>
      </c>
      <c r="G20" s="80">
        <f t="shared" si="1"/>
        <v>733665924.98109019</v>
      </c>
      <c r="H20" s="80">
        <f t="shared" si="1"/>
        <v>769336263.30114472</v>
      </c>
      <c r="I20" s="80">
        <f t="shared" si="1"/>
        <v>806759729.79933178</v>
      </c>
      <c r="J20" s="80">
        <f t="shared" si="1"/>
        <v>846023069.22242248</v>
      </c>
      <c r="K20" s="80">
        <f t="shared" si="1"/>
        <v>887217336.20466101</v>
      </c>
      <c r="L20" s="80">
        <f t="shared" si="1"/>
        <v>930438109.94164538</v>
      </c>
      <c r="M20" s="80">
        <f t="shared" si="1"/>
        <v>975785719.57328129</v>
      </c>
    </row>
    <row r="21" spans="2:13" ht="18" customHeight="1" x14ac:dyDescent="0.3">
      <c r="B21" s="67" t="s">
        <v>388</v>
      </c>
      <c r="C21" s="81">
        <f>C4</f>
        <v>-1904144319.6300001</v>
      </c>
      <c r="D21" s="81">
        <f t="shared" ref="D21:M21" si="2">D20-D12+D4</f>
        <v>456689772.57000011</v>
      </c>
      <c r="E21" s="81">
        <f t="shared" si="2"/>
        <v>478597261.1985001</v>
      </c>
      <c r="F21" s="81">
        <f t="shared" si="2"/>
        <v>501572314.25842512</v>
      </c>
      <c r="G21" s="81">
        <f t="shared" si="2"/>
        <v>525667475.67134643</v>
      </c>
      <c r="H21" s="81">
        <f t="shared" si="2"/>
        <v>550937891.52591372</v>
      </c>
      <c r="I21" s="81">
        <f t="shared" si="2"/>
        <v>577441439.43533933</v>
      </c>
      <c r="J21" s="81">
        <f t="shared" si="2"/>
        <v>605238864.34023035</v>
      </c>
      <c r="K21" s="81">
        <f t="shared" si="2"/>
        <v>634393921.07835925</v>
      </c>
      <c r="L21" s="81">
        <f t="shared" si="2"/>
        <v>664973524.05902851</v>
      </c>
      <c r="M21" s="81">
        <f t="shared" si="2"/>
        <v>697047904.39653361</v>
      </c>
    </row>
    <row r="22" spans="2:13" ht="21.75" customHeight="1" x14ac:dyDescent="0.3">
      <c r="B22" s="61" t="s">
        <v>389</v>
      </c>
      <c r="C22" s="82">
        <f>C21</f>
        <v>-1904144319.6300001</v>
      </c>
      <c r="D22" s="82">
        <f t="shared" ref="D22:M22" si="3">D21+C22</f>
        <v>-1447454547.0599999</v>
      </c>
      <c r="E22" s="82">
        <f t="shared" si="3"/>
        <v>-968857285.86149979</v>
      </c>
      <c r="F22" s="82">
        <f t="shared" si="3"/>
        <v>-467284971.60307467</v>
      </c>
      <c r="G22" s="82">
        <f t="shared" si="3"/>
        <v>58382504.068271756</v>
      </c>
      <c r="H22" s="82">
        <f t="shared" si="3"/>
        <v>609320395.59418547</v>
      </c>
      <c r="I22" s="82">
        <f t="shared" si="3"/>
        <v>1186761835.0295248</v>
      </c>
      <c r="J22" s="82">
        <f t="shared" si="3"/>
        <v>1792000699.3697553</v>
      </c>
      <c r="K22" s="82">
        <f t="shared" si="3"/>
        <v>2426394620.4481144</v>
      </c>
      <c r="L22" s="82">
        <f t="shared" si="3"/>
        <v>3091368144.507143</v>
      </c>
      <c r="M22" s="82">
        <f t="shared" si="3"/>
        <v>3788416048.9036765</v>
      </c>
    </row>
    <row r="23" spans="2:13" ht="19.5" customHeight="1" x14ac:dyDescent="0.3"/>
    <row r="24" spans="2:13" ht="15" customHeight="1" x14ac:dyDescent="0.3">
      <c r="B24" s="83" t="s">
        <v>390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</row>
    <row r="25" spans="2:13" ht="15.75" customHeight="1" x14ac:dyDescent="0.3">
      <c r="B25" s="85" t="s">
        <v>391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</row>
    <row r="26" spans="2:13" ht="18" customHeight="1" x14ac:dyDescent="0.3">
      <c r="C26" s="87">
        <f>C21</f>
        <v>-1904144319.6300001</v>
      </c>
      <c r="D26" s="87">
        <f>D21/((1+Supuestos!$C$13)^1)</f>
        <v>407758725.50892866</v>
      </c>
      <c r="E26" s="87">
        <f>E21/((1+Supuestos!$C$13)^2)</f>
        <v>381534806.44013077</v>
      </c>
      <c r="F26" s="87">
        <f>F21/((1+Supuestos!$C$13)^3)</f>
        <v>357009266.13920784</v>
      </c>
      <c r="G26" s="87">
        <f>G21/((1+Supuestos!$C$13)^4)</f>
        <v>334071184.01857245</v>
      </c>
      <c r="H26" s="87">
        <f>H21/((1+Supuestos!$C$13)^5)</f>
        <v>312616955.48478389</v>
      </c>
      <c r="I26" s="87">
        <f>I21/((1+Supuestos!$C$13)^6)</f>
        <v>292549803.87537187</v>
      </c>
      <c r="J26" s="87">
        <f>J21/((1+Supuestos!$C$13)^7)</f>
        <v>273779325.37569571</v>
      </c>
      <c r="K26" s="87">
        <f>K21/((1+Supuestos!$C$13)^8)</f>
        <v>256221064.65561688</v>
      </c>
      <c r="L26" s="87">
        <f>L21/((1+Supuestos!$C$13)^9)</f>
        <v>239796119.12301525</v>
      </c>
      <c r="M26" s="87">
        <f>M21/((1+Supuestos!$C$13)^10)</f>
        <v>224430769.83731398</v>
      </c>
    </row>
    <row r="27" spans="2:13" ht="14.25" customHeight="1" x14ac:dyDescent="0.3"/>
    <row r="28" spans="2:13" ht="14.25" customHeight="1" x14ac:dyDescent="0.3"/>
    <row r="29" spans="2:13" ht="14.25" customHeight="1" x14ac:dyDescent="0.3"/>
    <row r="30" spans="2:13" ht="14.25" customHeight="1" x14ac:dyDescent="0.3"/>
    <row r="31" spans="2:13" ht="14.25" customHeight="1" x14ac:dyDescent="0.3"/>
    <row r="32" spans="2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B3:M3"/>
    <mergeCell ref="B5:M5"/>
    <mergeCell ref="B1:M1"/>
    <mergeCell ref="B13:M13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1000"/>
  <sheetViews>
    <sheetView showGridLines="0" zoomScaleNormal="100" workbookViewId="0"/>
  </sheetViews>
  <sheetFormatPr baseColWidth="10" defaultColWidth="14.44140625" defaultRowHeight="14.4" x14ac:dyDescent="0.3"/>
  <cols>
    <col min="1" max="1" width="2" customWidth="1"/>
    <col min="2" max="2" width="38" customWidth="1"/>
    <col min="3" max="3" width="6" customWidth="1"/>
    <col min="4" max="4" width="22" customWidth="1"/>
    <col min="5" max="5" width="12" customWidth="1"/>
    <col min="6" max="6" width="30" customWidth="1"/>
    <col min="7" max="26" width="8.6640625" customWidth="1"/>
  </cols>
  <sheetData>
    <row r="1" spans="2:6" ht="24" customHeight="1" x14ac:dyDescent="0.3">
      <c r="B1" s="124" t="s">
        <v>392</v>
      </c>
      <c r="C1" s="120"/>
      <c r="D1" s="120"/>
      <c r="E1" s="120"/>
      <c r="F1" s="120"/>
    </row>
    <row r="2" spans="2:6" ht="14.25" customHeight="1" x14ac:dyDescent="0.3"/>
    <row r="3" spans="2:6" ht="18" customHeight="1" x14ac:dyDescent="0.3">
      <c r="B3" s="122" t="s">
        <v>393</v>
      </c>
      <c r="C3" s="123"/>
      <c r="D3" s="123"/>
      <c r="E3" s="123"/>
      <c r="F3" s="123"/>
    </row>
    <row r="4" spans="2:6" ht="15.75" customHeight="1" x14ac:dyDescent="0.3">
      <c r="B4" s="88" t="s">
        <v>394</v>
      </c>
      <c r="C4" s="88"/>
      <c r="D4" s="88" t="s">
        <v>30</v>
      </c>
      <c r="E4" s="88" t="s">
        <v>31</v>
      </c>
      <c r="F4" s="88" t="s">
        <v>395</v>
      </c>
    </row>
    <row r="5" spans="2:6" ht="21.75" customHeight="1" x14ac:dyDescent="0.3">
      <c r="B5" s="89" t="s">
        <v>396</v>
      </c>
      <c r="C5" s="90" t="s">
        <v>397</v>
      </c>
      <c r="D5" s="91">
        <f t="array" ref="D5">NPV(Supuestos!C13,Flujo_de_Caja!D21:M21)+Flujo_de_Caja!C21</f>
        <v>1175623700.8286371</v>
      </c>
      <c r="E5" s="14" t="s">
        <v>112</v>
      </c>
      <c r="F5" s="92" t="s">
        <v>398</v>
      </c>
    </row>
    <row r="6" spans="2:6" ht="21.75" customHeight="1" x14ac:dyDescent="0.3">
      <c r="B6" s="93" t="s">
        <v>399</v>
      </c>
      <c r="C6" s="94" t="s">
        <v>397</v>
      </c>
      <c r="D6" s="95">
        <f>IRR(Flujo_de_Caja!C21:M21)</f>
        <v>0.24504192783306555</v>
      </c>
      <c r="E6" s="10" t="s">
        <v>400</v>
      </c>
      <c r="F6" s="96" t="s">
        <v>401</v>
      </c>
    </row>
    <row r="7" spans="2:6" ht="21.75" customHeight="1" x14ac:dyDescent="0.3">
      <c r="B7" s="89" t="s">
        <v>402</v>
      </c>
      <c r="C7" s="90" t="s">
        <v>397</v>
      </c>
      <c r="D7" s="97">
        <f>CAPEX!H70/OPEX_Beneficios!C23</f>
        <v>4.3693099266235196</v>
      </c>
      <c r="E7" s="14" t="s">
        <v>403</v>
      </c>
      <c r="F7" s="92" t="s">
        <v>404</v>
      </c>
    </row>
    <row r="8" spans="2:6" ht="21.75" customHeight="1" x14ac:dyDescent="0.3">
      <c r="B8" s="93" t="s">
        <v>405</v>
      </c>
      <c r="C8" s="94" t="s">
        <v>397</v>
      </c>
      <c r="D8" s="95">
        <f>(OPEX_Beneficios!C23*10-CAPEX!H70)/CAPEX!H70</f>
        <v>1.2886909301322371</v>
      </c>
      <c r="E8" s="10" t="s">
        <v>400</v>
      </c>
      <c r="F8" s="96" t="s">
        <v>406</v>
      </c>
    </row>
    <row r="9" spans="2:6" ht="21.75" customHeight="1" x14ac:dyDescent="0.3">
      <c r="B9" s="98" t="s">
        <v>407</v>
      </c>
      <c r="C9" s="99" t="s">
        <v>397</v>
      </c>
      <c r="D9" s="100">
        <f>OPEX_Beneficios!C23</f>
        <v>435799783.4000001</v>
      </c>
      <c r="E9" s="14" t="s">
        <v>408</v>
      </c>
      <c r="F9" s="92" t="s">
        <v>409</v>
      </c>
    </row>
    <row r="10" spans="2:6" ht="21.75" customHeight="1" x14ac:dyDescent="0.3">
      <c r="B10" s="101" t="s">
        <v>371</v>
      </c>
      <c r="C10" s="102" t="s">
        <v>397</v>
      </c>
      <c r="D10" s="21">
        <f>CAPEX!H70</f>
        <v>1904144319.6300001</v>
      </c>
      <c r="E10" s="10" t="s">
        <v>112</v>
      </c>
      <c r="F10" s="96" t="s">
        <v>410</v>
      </c>
    </row>
    <row r="11" spans="2:6" ht="21.75" customHeight="1" x14ac:dyDescent="0.3">
      <c r="B11" s="98" t="s">
        <v>411</v>
      </c>
      <c r="C11" s="99" t="s">
        <v>397</v>
      </c>
      <c r="D11" s="100">
        <f>OPEX_Beneficios!C11</f>
        <v>171120839</v>
      </c>
      <c r="E11" s="14" t="s">
        <v>408</v>
      </c>
      <c r="F11" s="92" t="s">
        <v>412</v>
      </c>
    </row>
    <row r="12" spans="2:6" ht="21.75" customHeight="1" x14ac:dyDescent="0.3">
      <c r="B12" s="101" t="s">
        <v>413</v>
      </c>
      <c r="C12" s="102" t="s">
        <v>397</v>
      </c>
      <c r="D12" s="21">
        <f>OPEX_Beneficios!C22</f>
        <v>606920622.4000001</v>
      </c>
      <c r="E12" s="10" t="s">
        <v>408</v>
      </c>
      <c r="F12" s="96" t="s">
        <v>414</v>
      </c>
    </row>
    <row r="13" spans="2:6" ht="14.25" customHeight="1" x14ac:dyDescent="0.3"/>
    <row r="14" spans="2:6" ht="14.25" customHeight="1" x14ac:dyDescent="0.3"/>
    <row r="15" spans="2:6" ht="18" customHeight="1" x14ac:dyDescent="0.3">
      <c r="B15" s="146" t="s">
        <v>415</v>
      </c>
      <c r="C15" s="147"/>
      <c r="D15" s="147"/>
      <c r="E15" s="147"/>
      <c r="F15" s="147"/>
    </row>
    <row r="16" spans="2:6" ht="15.75" customHeight="1" x14ac:dyDescent="0.3">
      <c r="B16" s="103" t="s">
        <v>416</v>
      </c>
      <c r="C16" s="104"/>
      <c r="D16" s="103" t="s">
        <v>417</v>
      </c>
      <c r="E16" s="104"/>
      <c r="F16" s="105" t="s">
        <v>395</v>
      </c>
    </row>
    <row r="17" spans="2:6" ht="15.75" customHeight="1" x14ac:dyDescent="0.3">
      <c r="B17" s="17">
        <v>0.06</v>
      </c>
      <c r="C17" s="106" t="s">
        <v>397</v>
      </c>
      <c r="D17" s="107">
        <f t="array" ref="D17">NPV(Indicadores!B17,Flujo_de_Caja!D21:M21)+Flujo_de_Caja!C21</f>
        <v>2192288604.6713057</v>
      </c>
      <c r="E17" s="108"/>
      <c r="F17" s="109" t="s">
        <v>418</v>
      </c>
    </row>
    <row r="18" spans="2:6" ht="15.75" customHeight="1" x14ac:dyDescent="0.3">
      <c r="B18" s="18">
        <v>0.08</v>
      </c>
      <c r="C18" s="110" t="s">
        <v>397</v>
      </c>
      <c r="D18" s="107">
        <f t="array" ref="D18">NPV(Indicadores!B18,Flujo_de_Caja!D21:M21)+Flujo_de_Caja!C21</f>
        <v>1803842010.7925177</v>
      </c>
      <c r="E18" s="111"/>
      <c r="F18" s="112" t="s">
        <v>419</v>
      </c>
    </row>
    <row r="19" spans="2:6" ht="15.75" customHeight="1" x14ac:dyDescent="0.3">
      <c r="B19" s="17">
        <v>0.1</v>
      </c>
      <c r="C19" s="106" t="s">
        <v>397</v>
      </c>
      <c r="D19" s="107">
        <f t="array" ref="D19">NPV(Indicadores!B19,Flujo_de_Caja!D21:M21)+Flujo_de_Caja!C21</f>
        <v>1467768025.7116742</v>
      </c>
      <c r="E19" s="108"/>
      <c r="F19" s="109" t="s">
        <v>420</v>
      </c>
    </row>
    <row r="20" spans="2:6" ht="15.75" customHeight="1" x14ac:dyDescent="0.3">
      <c r="B20" s="18">
        <v>0.12</v>
      </c>
      <c r="C20" s="110" t="s">
        <v>397</v>
      </c>
      <c r="D20" s="107">
        <f t="array" ref="D20">NPV(Indicadores!B20,Flujo_de_Caja!D21:M21)+Flujo_de_Caja!C21</f>
        <v>1175623700.8286371</v>
      </c>
      <c r="E20" s="111"/>
      <c r="F20" s="113" t="s">
        <v>421</v>
      </c>
    </row>
    <row r="21" spans="2:6" ht="15.75" customHeight="1" x14ac:dyDescent="0.3">
      <c r="B21" s="17">
        <v>0.14000000000000001</v>
      </c>
      <c r="C21" s="106" t="s">
        <v>397</v>
      </c>
      <c r="D21" s="107">
        <f t="array" ref="D21">NPV(Indicadores!B21,Flujo_de_Caja!D21:M21)+Flujo_de_Caja!C21</f>
        <v>920502164.91944456</v>
      </c>
      <c r="E21" s="108"/>
      <c r="F21" s="109" t="s">
        <v>422</v>
      </c>
    </row>
    <row r="22" spans="2:6" ht="15.75" customHeight="1" x14ac:dyDescent="0.3">
      <c r="B22" s="18">
        <v>0.16</v>
      </c>
      <c r="C22" s="110" t="s">
        <v>397</v>
      </c>
      <c r="D22" s="107">
        <f t="array" ref="D22">NPV(Indicadores!B22,Flujo_de_Caja!D21:M21)+Flujo_de_Caja!C21</f>
        <v>696725954.68658447</v>
      </c>
      <c r="E22" s="111"/>
      <c r="F22" s="112" t="s">
        <v>423</v>
      </c>
    </row>
    <row r="23" spans="2:6" ht="15.75" customHeight="1" x14ac:dyDescent="0.3">
      <c r="B23" s="17">
        <v>0.18</v>
      </c>
      <c r="C23" s="106" t="s">
        <v>397</v>
      </c>
      <c r="D23" s="107">
        <f t="array" ref="D23">NPV(Indicadores!B23,Flujo_de_Caja!D21:M21)+Flujo_de_Caja!C21</f>
        <v>499606423.67300415</v>
      </c>
      <c r="E23" s="108"/>
      <c r="F23" s="109" t="s">
        <v>424</v>
      </c>
    </row>
    <row r="24" spans="2:6" ht="14.25" customHeight="1" x14ac:dyDescent="0.3"/>
    <row r="25" spans="2:6" ht="14.25" customHeight="1" x14ac:dyDescent="0.3"/>
    <row r="26" spans="2:6" ht="36" customHeight="1" x14ac:dyDescent="0.3">
      <c r="B26" s="148"/>
      <c r="C26" s="117"/>
      <c r="D26" s="117"/>
      <c r="E26" s="117"/>
      <c r="F26" s="117"/>
    </row>
    <row r="27" spans="2:6" ht="14.25" customHeight="1" x14ac:dyDescent="0.3"/>
    <row r="28" spans="2:6" ht="14.25" customHeight="1" x14ac:dyDescent="0.3"/>
    <row r="29" spans="2:6" ht="14.25" customHeight="1" x14ac:dyDescent="0.3"/>
    <row r="30" spans="2:6" ht="14.25" customHeight="1" x14ac:dyDescent="0.3"/>
    <row r="31" spans="2:6" ht="14.25" customHeight="1" x14ac:dyDescent="0.3"/>
    <row r="32" spans="2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B15:F15"/>
    <mergeCell ref="B26:F26"/>
    <mergeCell ref="B1:F1"/>
    <mergeCell ref="B3:F3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Supuestos</vt:lpstr>
      <vt:lpstr>CAPEX</vt:lpstr>
      <vt:lpstr>OPEX_Beneficios</vt:lpstr>
      <vt:lpstr>Flujo_de_Caja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Yesid Santos</cp:lastModifiedBy>
  <cp:revision>0</cp:revision>
  <dcterms:created xsi:type="dcterms:W3CDTF">2026-03-23T20:36:13Z</dcterms:created>
  <dcterms:modified xsi:type="dcterms:W3CDTF">2026-07-14T07:41:37Z</dcterms:modified>
  <dc:language>en-US</dc:language>
</cp:coreProperties>
</file>